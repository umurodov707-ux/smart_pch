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 codeName="ЭтаКнига"/>
  <bookViews>
    <workbookView windowWidth="22188" windowHeight="7884" tabRatio="751" activeTab="3"/>
  </bookViews>
  <sheets>
    <sheet name="1-бет" sheetId="7" r:id="rId1"/>
    <sheet name="2-3 бетлар" sheetId="1" r:id="rId2"/>
    <sheet name="4-5 бетлар" sheetId="2" r:id="rId3"/>
    <sheet name="6-7 бетлар" sheetId="3" r:id="rId4"/>
    <sheet name="8- бет" sheetId="4" r:id="rId5"/>
    <sheet name="9-бет" sheetId="10" r:id="rId6"/>
    <sheet name="10-бет" sheetId="5" r:id="rId7"/>
    <sheet name="11-бет" sheetId="6" r:id="rId8"/>
    <sheet name="12-бет" sheetId="9" r:id="rId9"/>
    <sheet name="13-бет" sheetId="8" r:id="rId10"/>
    <sheet name="14-бет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<sst xmlns="http://schemas.openxmlformats.org/spreadsheetml/2006/main" count="553" uniqueCount="216">
  <si>
    <t xml:space="preserve">                                                                                             </t>
  </si>
  <si>
    <t xml:space="preserve">Форма ПУ - 74 </t>
  </si>
  <si>
    <t>ГРАФИК</t>
  </si>
  <si>
    <t>по текущему содкржанию и оценка</t>
  </si>
  <si>
    <t xml:space="preserve">         состояния иути и путевых устройств</t>
  </si>
  <si>
    <t>__________________________________ отделения___________________________________околотка</t>
  </si>
  <si>
    <t>____________________________________участка на _____декабр______м-ц 2025 г.</t>
  </si>
  <si>
    <t>Контингент: расчетный_________чел._______________________________________чел./час</t>
  </si>
  <si>
    <t>минимальный_________________________"____________"</t>
  </si>
  <si>
    <t>фактический  _________________________"_____________"</t>
  </si>
  <si>
    <t>Выполнение задания в чел/час._____________________________________________________________</t>
  </si>
  <si>
    <t>%выполнения наряд-задания_____________________________________________________________</t>
  </si>
  <si>
    <t>нормы выработки_________________________________________________________</t>
  </si>
  <si>
    <t>Аккордная сумма: по плану _________________________________________________________________</t>
  </si>
  <si>
    <t>к выплате ________________________________________________________________________</t>
  </si>
  <si>
    <t>Старщий нормировщик._____________________________________________________________________</t>
  </si>
  <si>
    <t>(подпись)</t>
  </si>
  <si>
    <t>Оплатить бригаде аккордную сумму в размере_____________________________________________________проц.</t>
  </si>
  <si>
    <t>Оплатить бригаде премию           _____________________ _______________________________________ ___проц.</t>
  </si>
  <si>
    <t>Оплатить за руководство не освобожденному бригадиру пути     _______________________________________ проц.</t>
  </si>
  <si>
    <t>Оплатить премию освобежденному бригадиру пути            ____________________________________________проц.</t>
  </si>
  <si>
    <t>___________________________________________________________________________________________</t>
  </si>
  <si>
    <t>__________________________________________________________________________________________</t>
  </si>
  <si>
    <t>Пч-16___________________</t>
  </si>
  <si>
    <t>околоток</t>
  </si>
  <si>
    <t>Бригада</t>
  </si>
  <si>
    <t>Шифр учета затрат</t>
  </si>
  <si>
    <t>производственная группа</t>
  </si>
  <si>
    <t>профессия</t>
  </si>
  <si>
    <t>категория</t>
  </si>
  <si>
    <t>Цех</t>
  </si>
  <si>
    <t>Синтетеик счет</t>
  </si>
  <si>
    <t>Аналитический учет</t>
  </si>
  <si>
    <t>суб счет</t>
  </si>
  <si>
    <t>статья расхода</t>
  </si>
  <si>
    <t>I. УЧЕТ РАБОЧЕГО ВРЕМЕНИ И ЗАРОБОТНОЙ ПЛАТЫ РАБОЧИХ</t>
  </si>
  <si>
    <t>7_8</t>
  </si>
  <si>
    <t>14-15</t>
  </si>
  <si>
    <t>17-19</t>
  </si>
  <si>
    <t>22-24</t>
  </si>
  <si>
    <t xml:space="preserve">№ </t>
  </si>
  <si>
    <t>Ф.И.О</t>
  </si>
  <si>
    <t>ЧИСЛА МЕСЯЦА</t>
  </si>
  <si>
    <t>Итого отработано часов</t>
  </si>
  <si>
    <t>Табельный номер</t>
  </si>
  <si>
    <t>Разряд рабочего</t>
  </si>
  <si>
    <t>Итого отработано часов. Приведен к первому разряду</t>
  </si>
  <si>
    <t>Вид оплаты</t>
  </si>
  <si>
    <t>26-29</t>
  </si>
  <si>
    <t>Аккорд зараб</t>
  </si>
  <si>
    <t>Сумма премии</t>
  </si>
  <si>
    <t>34-38</t>
  </si>
  <si>
    <t>Nazarov S</t>
  </si>
  <si>
    <t>Satturdiyev Q</t>
  </si>
  <si>
    <t xml:space="preserve">Adambayev A </t>
  </si>
  <si>
    <t>Mardinov E</t>
  </si>
  <si>
    <t>Orazbekov J</t>
  </si>
  <si>
    <t>G'aybullayev A</t>
  </si>
  <si>
    <t>Murodov U</t>
  </si>
  <si>
    <t>013</t>
  </si>
  <si>
    <t>Jalolov I</t>
  </si>
  <si>
    <t>b</t>
  </si>
  <si>
    <t>Toshpo'latov O</t>
  </si>
  <si>
    <t xml:space="preserve">      Аккордный заработок за 1 час, приведенный к 1-разряду _______________________________</t>
  </si>
  <si>
    <t>Итого:</t>
  </si>
  <si>
    <t xml:space="preserve">                                             Процент премии к выплате __________________________</t>
  </si>
  <si>
    <t xml:space="preserve">       Расчет составил ______________________________________ </t>
  </si>
  <si>
    <t xml:space="preserve">      ПДБ _________________________</t>
  </si>
  <si>
    <t xml:space="preserve">       Нормировщик __________________</t>
  </si>
  <si>
    <t xml:space="preserve">       ПД __________________________</t>
  </si>
  <si>
    <t>II. ПЛАН И ВЫПОЛНЕНИЕ РАБОТ</t>
  </si>
  <si>
    <t xml:space="preserve">      Неотложные работы                               </t>
  </si>
  <si>
    <t>Плани и выполнение задание</t>
  </si>
  <si>
    <t>Итого часов</t>
  </si>
  <si>
    <t>№ п-п</t>
  </si>
  <si>
    <t>Место работы(км, пикет, звено, № станционного пути № стрелки и.т.д. )</t>
  </si>
  <si>
    <t>Наимование (с указанием рпименяемых механизмов)</t>
  </si>
  <si>
    <t>Единица измерения</t>
  </si>
  <si>
    <t>Норма времени на измеритель в чел/час &amp;норм</t>
  </si>
  <si>
    <t>норма выработки</t>
  </si>
  <si>
    <t>Задание</t>
  </si>
  <si>
    <t>Числа месяца</t>
  </si>
  <si>
    <t>Фактически отработанных</t>
  </si>
  <si>
    <t>Нормированных</t>
  </si>
  <si>
    <t>Обьем выполненных работ</t>
  </si>
  <si>
    <t>№№ статей расхода</t>
  </si>
  <si>
    <t>Количество работ</t>
  </si>
  <si>
    <t>Нормированное время на заданию работу в ч-час</t>
  </si>
  <si>
    <t>Исправление просадок к перекосов пути на щебеночном балласте подбивкой шпал ЭШП-9</t>
  </si>
  <si>
    <t>шпал</t>
  </si>
  <si>
    <t>§ 1</t>
  </si>
  <si>
    <t>4118 km pk 1 dan 4128 km pk 10</t>
  </si>
  <si>
    <t>Выправка пути по уровню на величину до 10мм укладкой или заменой регулировочных прокладок</t>
  </si>
  <si>
    <t>конц шпал</t>
  </si>
  <si>
    <t>§ 19</t>
  </si>
  <si>
    <t>Поправка подрельсовых (амортизационных) прокладок при раздельном скреплении</t>
  </si>
  <si>
    <t>конц /шпал</t>
  </si>
  <si>
    <t>§ 20</t>
  </si>
  <si>
    <t>Сверление больтовых отверстий в рельсах электрическами рельсосверильными станками</t>
  </si>
  <si>
    <t>релс свер</t>
  </si>
  <si>
    <t>§ 48</t>
  </si>
  <si>
    <t>Резка рельсов электрическим рельсорезным станком РМ-3</t>
  </si>
  <si>
    <t xml:space="preserve">рельс </t>
  </si>
  <si>
    <t>§ 51</t>
  </si>
  <si>
    <t>Очистка централизованных стрелочных переводов от грязи и мусора</t>
  </si>
  <si>
    <t>стрл/пер</t>
  </si>
  <si>
    <t>§ 58</t>
  </si>
  <si>
    <t>Регулировка ширины колен на стрелочном переводе с рпименением стяжного прибора</t>
  </si>
  <si>
    <t>конц/брус</t>
  </si>
  <si>
    <t>§ 60</t>
  </si>
  <si>
    <t>Подтягивание гаек клеммных и закладных болтов торцовыми ключами</t>
  </si>
  <si>
    <t>гаек</t>
  </si>
  <si>
    <t>§ 41</t>
  </si>
  <si>
    <t>рыхтовка пути</t>
  </si>
  <si>
    <t>дорог</t>
  </si>
  <si>
    <t>§ 39 1990г.</t>
  </si>
  <si>
    <t>Смена изолирующих прокладок в изолирующем стыке</t>
  </si>
  <si>
    <t>стик</t>
  </si>
  <si>
    <t>§ 38</t>
  </si>
  <si>
    <t>Регулировка ширины рельсовой колеи при раздельном скреплении с применением стяжного прибора</t>
  </si>
  <si>
    <t>конц/шпал</t>
  </si>
  <si>
    <t>§ 18</t>
  </si>
  <si>
    <t>Смена железобетонных шпал (одиночная) на щебеночном баласте при раздельном скреплении КБ и скреплении PANDROL FAST CLIP</t>
  </si>
  <si>
    <t>§ 11</t>
  </si>
  <si>
    <t>Выправка стрелочного перевода подбивкой брусьев электрошполопобойками ЭШП-9</t>
  </si>
  <si>
    <t>м/брус</t>
  </si>
  <si>
    <t>§ 59</t>
  </si>
  <si>
    <t xml:space="preserve">4124 km pk 1, 4122 km pk 7, 4123 km pk 7, 4128 km pk 10, </t>
  </si>
  <si>
    <t>Смена рельсов типов Р65 и Р50 при раздельном скреплении (одиночная)</t>
  </si>
  <si>
    <t>рельс</t>
  </si>
  <si>
    <t>§ 21</t>
  </si>
  <si>
    <t>4118 km - 4136 km</t>
  </si>
  <si>
    <t>Обход пути</t>
  </si>
  <si>
    <t xml:space="preserve">Смена рельсов типов Р65 и Р50 при смешанном костыльном скреплении </t>
  </si>
  <si>
    <t>§ 22</t>
  </si>
  <si>
    <t>жами</t>
  </si>
  <si>
    <t>проверит</t>
  </si>
  <si>
    <t>Задание выдал ПД___________________________________________</t>
  </si>
  <si>
    <t>Принял к исполнению ПД_____________________Работы выполнени ПДБ________________________________</t>
  </si>
  <si>
    <t>Примечани: 1.Попунктирной линии проводится сплошная черта, определяющая время работ по плану.</t>
  </si>
  <si>
    <t>Качество выполненных работ</t>
  </si>
  <si>
    <t xml:space="preserve">                   2. По каждой работе указываются: над сплошной чертой - фактически отработанные часы: под чертой</t>
  </si>
  <si>
    <t xml:space="preserve">      Неотложные работы                                </t>
  </si>
  <si>
    <t xml:space="preserve">            2. По каждой работе указываются: над сплошной чертой - фактически отработанные часы: под чертой</t>
  </si>
  <si>
    <t>III.Работа механизмов</t>
  </si>
  <si>
    <t>№</t>
  </si>
  <si>
    <t>Место работы (км, станция, путь, стрелка)</t>
  </si>
  <si>
    <t>Наимование механизмов</t>
  </si>
  <si>
    <t>Количество механизмов</t>
  </si>
  <si>
    <t>Наимование работ</t>
  </si>
  <si>
    <t>Норма на измеритель в чел-час</t>
  </si>
  <si>
    <t>задание</t>
  </si>
  <si>
    <t>План и выполнение задания</t>
  </si>
  <si>
    <t>АВ-4/ЭШП-9</t>
  </si>
  <si>
    <t>&amp; 1</t>
  </si>
  <si>
    <t>Выправка стрелочногоперевода подбивкой брусьев ЭШП-9</t>
  </si>
  <si>
    <t>&amp; 59</t>
  </si>
  <si>
    <t>Задание выдал ПД _____________________________</t>
  </si>
  <si>
    <t>Принял к исполнению ПДБ ___________________________</t>
  </si>
  <si>
    <t>IV. РАБОТА ПУТЕВЫХ ОБХОДЧИКОВ</t>
  </si>
  <si>
    <t xml:space="preserve">№п-п </t>
  </si>
  <si>
    <t xml:space="preserve">Фамилия путевого обходчика </t>
  </si>
  <si>
    <t>Обслуживанный участок (№ км. путей)</t>
  </si>
  <si>
    <t>Место и наимование заданных работ</t>
  </si>
  <si>
    <t>Срок исполнения</t>
  </si>
  <si>
    <t>Задано</t>
  </si>
  <si>
    <t>Выполнено</t>
  </si>
  <si>
    <t>Оценка обслуживаемого участка</t>
  </si>
  <si>
    <t>Причитается премия (сум)</t>
  </si>
  <si>
    <t>4118 - 4136</t>
  </si>
  <si>
    <t xml:space="preserve">Potenut oslobshix stikovix boltov </t>
  </si>
  <si>
    <t>1/ой</t>
  </si>
  <si>
    <t>штук</t>
  </si>
  <si>
    <t>отлично</t>
  </si>
  <si>
    <t>Adambayev A</t>
  </si>
  <si>
    <t>Задание выдал ПД ___________________________________</t>
  </si>
  <si>
    <t>Работы выполнены ПДБ ____________________________________</t>
  </si>
  <si>
    <t>V. ВЕДОМОСТЬ ОБОРОТА МАТЕРИАЛОВ  ПО ТЕКУШЕМУ СОДЕРЖАНИЮ ПУТИ</t>
  </si>
  <si>
    <t xml:space="preserve">№№ </t>
  </si>
  <si>
    <t>Наимование материалов с указанием типа</t>
  </si>
  <si>
    <t>Годность материала</t>
  </si>
  <si>
    <t>Снято с пути материалов</t>
  </si>
  <si>
    <t>Уложено в путь материалов</t>
  </si>
  <si>
    <t>Число месяца</t>
  </si>
  <si>
    <t>Итого</t>
  </si>
  <si>
    <t>В.т.ч</t>
  </si>
  <si>
    <t>в глав путь</t>
  </si>
  <si>
    <t>станц путь</t>
  </si>
  <si>
    <t>перевод на стрел</t>
  </si>
  <si>
    <t>Изолятсия Р-65 новая</t>
  </si>
  <si>
    <t>туп</t>
  </si>
  <si>
    <t>годн</t>
  </si>
  <si>
    <t xml:space="preserve">нов </t>
  </si>
  <si>
    <t>негод</t>
  </si>
  <si>
    <t>старо</t>
  </si>
  <si>
    <t>Составил ПД____________________________________________</t>
  </si>
  <si>
    <t xml:space="preserve">  Проверил ПДБ ________________________________________________________</t>
  </si>
  <si>
    <t xml:space="preserve">    Проверил ПДБ ________________________________________________________</t>
  </si>
  <si>
    <t>VI.СОСТОЯНИЕ И ОЦЕНКА ПУТИ И ПУТЕВЫХ УСТРОЙСТВ</t>
  </si>
  <si>
    <t xml:space="preserve">                              Перегон__________________________________________            СТАНЦИЯ__________________________________________</t>
  </si>
  <si>
    <t>ПОКАЗАТЕЛИ</t>
  </si>
  <si>
    <t>Измеритель</t>
  </si>
  <si>
    <t>№ километров главного пути или приемо - отправочных и прочих путей</t>
  </si>
  <si>
    <t>Состояние пути по показаниям путеизмерителбного вагона или путеизмерительной тележки за преыдуший месяц</t>
  </si>
  <si>
    <t>балл</t>
  </si>
  <si>
    <t xml:space="preserve">Задания на отчетных месяц </t>
  </si>
  <si>
    <t>Наличие несменных остродефектных рельсов</t>
  </si>
  <si>
    <t>шт</t>
  </si>
  <si>
    <t>Наличие кустов из 3-х и более подряд негодных шпал</t>
  </si>
  <si>
    <t>куст</t>
  </si>
  <si>
    <t>Протяжение пути, требующего разгонки зазоров и закрепления от угона</t>
  </si>
  <si>
    <t>п. м.</t>
  </si>
  <si>
    <t>Протяжение водоотводных устройств, требущих очистки</t>
  </si>
  <si>
    <t>Общая оценка состояния пути и путевых устройств</t>
  </si>
  <si>
    <t>оценка</t>
  </si>
  <si>
    <t xml:space="preserve">                       Перегон__________________________________________Станция__________________________________________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</si>
</sst>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"/>
    <numFmt numFmtId="181" formatCode="0.0"/>
    <numFmt numFmtId="182" formatCode="dd\.mm\.yyyy"/>
    <numFmt numFmtId="183" formatCode="dd\.mmm"/>
  </numFmts>
  <fonts count="44">
    <font>
      <sz val="11"/>
      <color theme="1"/>
      <name val="Calibri"/>
      <charset val="134"/>
      <scheme val="minor"/>
    </font>
    <font>
      <b/>
      <sz val="11"/>
      <color theme="1"/>
      <name val="Times New Roman"/>
      <charset val="204"/>
    </font>
    <font>
      <b/>
      <sz val="10"/>
      <color theme="1"/>
      <name val="Times New Roman"/>
      <charset val="204"/>
    </font>
    <font>
      <b/>
      <sz val="8"/>
      <color theme="1"/>
      <name val="Times New Roman"/>
      <charset val="204"/>
    </font>
    <font>
      <i/>
      <sz val="11"/>
      <color theme="1"/>
      <name val="Calibri"/>
      <charset val="204"/>
      <scheme val="minor"/>
    </font>
    <font>
      <sz val="10"/>
      <color theme="1"/>
      <name val="Times New Roman"/>
      <charset val="204"/>
    </font>
    <font>
      <sz val="8"/>
      <color theme="1"/>
      <name val="Calibri"/>
      <charset val="134"/>
      <scheme val="minor"/>
    </font>
    <font>
      <i/>
      <sz val="11"/>
      <color theme="1"/>
      <name val="Times New Roman"/>
      <charset val="204"/>
    </font>
    <font>
      <sz val="11"/>
      <color theme="1"/>
      <name val="Times New Roman"/>
      <charset val="204"/>
    </font>
    <font>
      <sz val="11"/>
      <color rgb="FFFF0000"/>
      <name val="Times New Roman"/>
      <charset val="204"/>
    </font>
    <font>
      <sz val="9"/>
      <color theme="1"/>
      <name val="Times New Roman"/>
      <charset val="204"/>
    </font>
    <font>
      <sz val="9"/>
      <color theme="1"/>
      <name val="Calibri"/>
      <charset val="134"/>
      <scheme val="minor"/>
    </font>
    <font>
      <sz val="8"/>
      <color theme="1"/>
      <name val="Times New Roman"/>
      <charset val="204"/>
    </font>
    <font>
      <b/>
      <sz val="11"/>
      <color theme="1"/>
      <name val="Calibri"/>
      <charset val="204"/>
      <scheme val="minor"/>
    </font>
    <font>
      <b/>
      <sz val="9"/>
      <color theme="1"/>
      <name val="Calibri"/>
      <charset val="204"/>
      <scheme val="minor"/>
    </font>
    <font>
      <sz val="12"/>
      <color theme="1"/>
      <name val="Times New Roman"/>
      <charset val="204"/>
    </font>
    <font>
      <b/>
      <sz val="12"/>
      <color theme="1"/>
      <name val="Times New Roman"/>
      <charset val="204"/>
    </font>
    <font>
      <b/>
      <sz val="9"/>
      <color theme="1"/>
      <name val="Times New Roman"/>
      <charset val="204"/>
    </font>
    <font>
      <b/>
      <sz val="7"/>
      <color theme="1"/>
      <name val="Times New Roman"/>
      <charset val="204"/>
    </font>
    <font>
      <u/>
      <sz val="11"/>
      <color theme="1"/>
      <name val="Times New Roman"/>
      <charset val="204"/>
    </font>
    <font>
      <sz val="24"/>
      <color theme="1"/>
      <name val="Times New Roman"/>
      <charset val="204"/>
    </font>
    <font>
      <sz val="26"/>
      <color theme="1"/>
      <name val="Times New Roman"/>
      <charset val="204"/>
    </font>
    <font>
      <sz val="28"/>
      <color theme="1"/>
      <name val="Times New Roman"/>
      <charset val="204"/>
    </font>
    <font>
      <sz val="18"/>
      <color theme="1"/>
      <name val="Times New Roman"/>
      <charset val="204"/>
    </font>
    <font>
      <sz val="16"/>
      <color theme="1"/>
      <name val="Times New Roman"/>
      <charset val="20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2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6" applyNumberFormat="0" applyFill="0" applyAlignment="0" applyProtection="0">
      <alignment vertical="center"/>
    </xf>
    <xf numFmtId="0" fontId="31" fillId="0" borderId="26" applyNumberFormat="0" applyFill="0" applyAlignment="0" applyProtection="0">
      <alignment vertical="center"/>
    </xf>
    <xf numFmtId="0" fontId="32" fillId="0" borderId="2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28" applyNumberFormat="0" applyAlignment="0" applyProtection="0">
      <alignment vertical="center"/>
    </xf>
    <xf numFmtId="0" fontId="34" fillId="7" borderId="29" applyNumberFormat="0" applyAlignment="0" applyProtection="0">
      <alignment vertical="center"/>
    </xf>
    <xf numFmtId="0" fontId="35" fillId="7" borderId="28" applyNumberFormat="0" applyAlignment="0" applyProtection="0">
      <alignment vertical="center"/>
    </xf>
    <xf numFmtId="0" fontId="36" fillId="8" borderId="30" applyNumberFormat="0" applyAlignment="0" applyProtection="0">
      <alignment vertical="center"/>
    </xf>
    <xf numFmtId="0" fontId="37" fillId="0" borderId="31" applyNumberFormat="0" applyFill="0" applyAlignment="0" applyProtection="0">
      <alignment vertical="center"/>
    </xf>
    <xf numFmtId="0" fontId="38" fillId="0" borderId="32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</cellStyleXfs>
  <cellXfs count="30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/>
    <xf numFmtId="0" fontId="0" fillId="0" borderId="0" xfId="0" applyAlignment="1">
      <alignment horizontal="left" textRotation="180"/>
    </xf>
    <xf numFmtId="0" fontId="1" fillId="0" borderId="4" xfId="0" applyFont="1" applyBorder="1" applyAlignment="1">
      <alignment horizontal="left"/>
    </xf>
    <xf numFmtId="0" fontId="2" fillId="0" borderId="7" xfId="0" applyFont="1" applyBorder="1" applyAlignment="1">
      <alignment horizontal="center" vertical="center" wrapText="1"/>
    </xf>
    <xf numFmtId="0" fontId="4" fillId="0" borderId="0" xfId="0" applyFont="1"/>
    <xf numFmtId="0" fontId="0" fillId="0" borderId="2" xfId="0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90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textRotation="90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0" fontId="6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 wrapText="1"/>
    </xf>
    <xf numFmtId="0" fontId="6" fillId="0" borderId="0" xfId="0" applyFont="1" applyAlignment="1">
      <alignment horizontal="left" textRotation="180"/>
    </xf>
    <xf numFmtId="0" fontId="7" fillId="0" borderId="0" xfId="0" applyFont="1"/>
    <xf numFmtId="0" fontId="8" fillId="0" borderId="0" xfId="0" applyFont="1" applyAlignment="1">
      <alignment horizontal="left"/>
    </xf>
    <xf numFmtId="0" fontId="8" fillId="0" borderId="0" xfId="0" applyFont="1"/>
    <xf numFmtId="0" fontId="9" fillId="0" borderId="1" xfId="0" applyFont="1" applyBorder="1"/>
    <xf numFmtId="0" fontId="8" fillId="0" borderId="1" xfId="0" applyFont="1" applyBorder="1"/>
    <xf numFmtId="0" fontId="5" fillId="0" borderId="0" xfId="0" applyFont="1" applyAlignment="1">
      <alignment horizontal="center" vertical="top"/>
    </xf>
    <xf numFmtId="0" fontId="5" fillId="0" borderId="7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textRotation="90"/>
    </xf>
    <xf numFmtId="0" fontId="5" fillId="0" borderId="12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textRotation="90" wrapText="1"/>
    </xf>
    <xf numFmtId="0" fontId="5" fillId="0" borderId="12" xfId="0" applyFont="1" applyFill="1" applyBorder="1" applyAlignment="1">
      <alignment horizontal="center" vertical="center" textRotation="90" wrapText="1"/>
    </xf>
    <xf numFmtId="0" fontId="5" fillId="0" borderId="8" xfId="0" applyFont="1" applyFill="1" applyBorder="1" applyAlignment="1">
      <alignment horizontal="center" vertical="center" textRotation="90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textRotation="90" wrapText="1"/>
    </xf>
    <xf numFmtId="0" fontId="5" fillId="0" borderId="15" xfId="0" applyFont="1" applyFill="1" applyBorder="1" applyAlignment="1">
      <alignment horizontal="center" vertical="center" textRotation="90" wrapText="1"/>
    </xf>
    <xf numFmtId="0" fontId="5" fillId="0" borderId="11" xfId="0" applyFont="1" applyFill="1" applyBorder="1" applyAlignment="1">
      <alignment horizontal="center" vertical="center" textRotation="90" wrapText="1"/>
    </xf>
    <xf numFmtId="0" fontId="5" fillId="0" borderId="13" xfId="0" applyFont="1" applyFill="1" applyBorder="1" applyAlignment="1">
      <alignment horizontal="center" vertical="center" textRotation="90" wrapText="1"/>
    </xf>
    <xf numFmtId="0" fontId="6" fillId="0" borderId="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9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 vertical="center" textRotation="90"/>
    </xf>
    <xf numFmtId="0" fontId="5" fillId="0" borderId="13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6" xfId="0" applyFont="1" applyBorder="1"/>
    <xf numFmtId="0" fontId="0" fillId="0" borderId="0" xfId="0" applyAlignment="1">
      <alignment textRotation="180"/>
    </xf>
    <xf numFmtId="0" fontId="8" fillId="0" borderId="0" xfId="0" applyFont="1" applyBorder="1"/>
    <xf numFmtId="0" fontId="1" fillId="0" borderId="0" xfId="0" applyFont="1" applyBorder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 vertical="center" textRotation="90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 applyProtection="1">
      <alignment horizontal="center" vertical="center" textRotation="90" wrapText="1"/>
      <protection locked="0"/>
    </xf>
    <xf numFmtId="0" fontId="10" fillId="0" borderId="12" xfId="0" applyFont="1" applyBorder="1" applyAlignment="1" applyProtection="1">
      <alignment horizontal="center" vertical="center" textRotation="90" wrapText="1"/>
      <protection locked="0"/>
    </xf>
    <xf numFmtId="0" fontId="10" fillId="0" borderId="8" xfId="0" applyFont="1" applyBorder="1" applyAlignment="1" applyProtection="1">
      <alignment horizontal="center" vertical="center" textRotation="90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0" fillId="0" borderId="14" xfId="0" applyFont="1" applyBorder="1" applyAlignment="1" applyProtection="1">
      <alignment horizontal="center" vertical="center" textRotation="90" wrapText="1"/>
      <protection locked="0"/>
    </xf>
    <xf numFmtId="0" fontId="10" fillId="0" borderId="15" xfId="0" applyFont="1" applyBorder="1" applyAlignment="1" applyProtection="1">
      <alignment horizontal="center" vertical="center" textRotation="90" wrapText="1"/>
      <protection locked="0"/>
    </xf>
    <xf numFmtId="0" fontId="10" fillId="0" borderId="5" xfId="0" applyFont="1" applyBorder="1" applyAlignment="1" applyProtection="1">
      <alignment horizontal="center" vertical="center" textRotation="90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11" xfId="0" applyFont="1" applyBorder="1" applyAlignment="1" applyProtection="1">
      <alignment horizontal="center" vertical="center" textRotation="90" wrapText="1"/>
      <protection locked="0"/>
    </xf>
    <xf numFmtId="0" fontId="10" fillId="0" borderId="13" xfId="0" applyFont="1" applyBorder="1" applyAlignment="1" applyProtection="1">
      <alignment horizontal="center" vertical="center" textRotation="90" wrapText="1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1" fillId="0" borderId="0" xfId="0" applyFont="1" applyAlignment="1" applyProtection="1">
      <alignment vertical="top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6" xfId="0" applyFill="1" applyBorder="1" applyProtection="1">
      <protection locked="0"/>
    </xf>
    <xf numFmtId="0" fontId="0" fillId="0" borderId="7" xfId="0" applyFill="1" applyBorder="1" applyProtection="1">
      <protection locked="0"/>
    </xf>
    <xf numFmtId="2" fontId="6" fillId="2" borderId="6" xfId="0" applyNumberFormat="1" applyFont="1" applyFill="1" applyBorder="1"/>
    <xf numFmtId="180" fontId="12" fillId="0" borderId="2" xfId="0" applyNumberFormat="1" applyFont="1" applyBorder="1" applyAlignment="1" applyProtection="1">
      <alignment horizontal="center" vertical="center" wrapText="1"/>
      <protection locked="0"/>
    </xf>
    <xf numFmtId="181" fontId="5" fillId="0" borderId="2" xfId="0" applyNumberFormat="1" applyFont="1" applyBorder="1" applyAlignment="1" applyProtection="1">
      <alignment horizontal="center" vertical="center" wrapText="1"/>
      <protection locked="0"/>
    </xf>
    <xf numFmtId="180" fontId="12" fillId="0" borderId="5" xfId="0" applyNumberFormat="1" applyFont="1" applyBorder="1" applyAlignment="1" applyProtection="1">
      <alignment horizontal="center" vertical="center" wrapText="1"/>
      <protection locked="0"/>
    </xf>
    <xf numFmtId="181" fontId="5" fillId="0" borderId="5" xfId="0" applyNumberFormat="1" applyFont="1" applyBorder="1" applyAlignment="1" applyProtection="1">
      <alignment horizontal="center" vertical="center" wrapText="1"/>
      <protection locked="0"/>
    </xf>
    <xf numFmtId="0" fontId="6" fillId="0" borderId="7" xfId="0" applyFont="1" applyBorder="1"/>
    <xf numFmtId="0" fontId="0" fillId="0" borderId="8" xfId="0" applyBorder="1" applyAlignment="1">
      <alignment horizontal="center"/>
    </xf>
    <xf numFmtId="0" fontId="6" fillId="0" borderId="0" xfId="0" applyFont="1"/>
    <xf numFmtId="0" fontId="11" fillId="0" borderId="0" xfId="0" applyFont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2" fontId="6" fillId="2" borderId="6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" fontId="6" fillId="2" borderId="6" xfId="0" applyNumberFormat="1" applyFont="1" applyFill="1" applyBorder="1" applyAlignment="1">
      <alignment horizontal="center"/>
    </xf>
    <xf numFmtId="0" fontId="0" fillId="0" borderId="0" xfId="0" applyAlignment="1" applyProtection="1">
      <alignment horizontal="left" textRotation="180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3" borderId="6" xfId="0" applyFill="1" applyBorder="1" applyProtection="1">
      <protection locked="0"/>
    </xf>
    <xf numFmtId="1" fontId="6" fillId="0" borderId="6" xfId="0" applyNumberFormat="1" applyFont="1" applyBorder="1"/>
    <xf numFmtId="0" fontId="6" fillId="0" borderId="6" xfId="0" applyFont="1" applyBorder="1" applyProtection="1">
      <protection locked="0"/>
    </xf>
    <xf numFmtId="0" fontId="6" fillId="0" borderId="7" xfId="0" applyFont="1" applyBorder="1" applyProtection="1">
      <protection locked="0"/>
    </xf>
    <xf numFmtId="0" fontId="0" fillId="0" borderId="8" xfId="0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6" xfId="0" applyBorder="1"/>
    <xf numFmtId="1" fontId="0" fillId="2" borderId="6" xfId="0" applyNumberFormat="1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1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 vertical="center" textRotation="90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0" borderId="9" xfId="0" applyFont="1" applyBorder="1" applyAlignment="1" applyProtection="1">
      <alignment horizontal="center" vertical="center" textRotation="90" wrapText="1"/>
      <protection locked="0"/>
    </xf>
    <xf numFmtId="0" fontId="3" fillId="0" borderId="12" xfId="0" applyFont="1" applyBorder="1" applyAlignment="1" applyProtection="1">
      <alignment horizontal="center" vertical="center" textRotation="90" wrapText="1"/>
      <protection locked="0"/>
    </xf>
    <xf numFmtId="0" fontId="3" fillId="0" borderId="8" xfId="0" applyFont="1" applyBorder="1" applyAlignment="1" applyProtection="1">
      <alignment horizontal="center" vertical="center" textRotation="90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textRotation="90" wrapText="1"/>
      <protection locked="0"/>
    </xf>
    <xf numFmtId="0" fontId="3" fillId="0" borderId="15" xfId="0" applyFont="1" applyBorder="1" applyAlignment="1" applyProtection="1">
      <alignment horizontal="center" vertical="center" textRotation="90" wrapText="1"/>
      <protection locked="0"/>
    </xf>
    <xf numFmtId="0" fontId="3" fillId="0" borderId="5" xfId="0" applyFont="1" applyBorder="1" applyAlignment="1" applyProtection="1">
      <alignment horizontal="center" vertical="center" textRotation="90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11" xfId="0" applyFont="1" applyBorder="1" applyAlignment="1" applyProtection="1">
      <alignment horizontal="center" vertical="center" textRotation="90" wrapText="1"/>
      <protection locked="0"/>
    </xf>
    <xf numFmtId="0" fontId="3" fillId="0" borderId="13" xfId="0" applyFont="1" applyBorder="1" applyAlignment="1" applyProtection="1">
      <alignment horizontal="center" vertical="center" textRotation="90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top"/>
      <protection hidden="1"/>
    </xf>
    <xf numFmtId="0" fontId="14" fillId="0" borderId="0" xfId="0" applyFont="1" applyAlignment="1" applyProtection="1">
      <alignment horizontal="left"/>
      <protection hidden="1"/>
    </xf>
    <xf numFmtId="0" fontId="11" fillId="0" borderId="0" xfId="0" applyFont="1" applyAlignment="1" applyProtection="1">
      <alignment horizontal="left"/>
      <protection hidden="1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6" xfId="0" applyFont="1" applyFill="1" applyBorder="1" applyProtection="1">
      <protection locked="0"/>
    </xf>
    <xf numFmtId="0" fontId="5" fillId="3" borderId="6" xfId="0" applyFont="1" applyFill="1" applyBorder="1" applyProtection="1">
      <protection locked="0"/>
    </xf>
    <xf numFmtId="1" fontId="5" fillId="2" borderId="2" xfId="0" applyNumberFormat="1" applyFont="1" applyFill="1" applyBorder="1" applyAlignment="1" applyProtection="1">
      <alignment horizontal="center" vertical="center" wrapText="1"/>
    </xf>
    <xf numFmtId="1" fontId="12" fillId="0" borderId="6" xfId="0" applyNumberFormat="1" applyFont="1" applyFill="1" applyBorder="1" applyProtection="1">
      <protection locked="0"/>
    </xf>
    <xf numFmtId="0" fontId="12" fillId="0" borderId="6" xfId="0" applyFont="1" applyFill="1" applyBorder="1" applyProtection="1">
      <protection locked="0"/>
    </xf>
    <xf numFmtId="1" fontId="5" fillId="2" borderId="5" xfId="0" applyNumberFormat="1" applyFont="1" applyFill="1" applyBorder="1" applyAlignment="1" applyProtection="1">
      <alignment horizontal="center" vertical="center" wrapText="1"/>
    </xf>
    <xf numFmtId="1" fontId="5" fillId="2" borderId="6" xfId="0" applyNumberFormat="1" applyFont="1" applyFill="1" applyBorder="1" applyProtection="1"/>
    <xf numFmtId="1" fontId="12" fillId="2" borderId="6" xfId="0" applyNumberFormat="1" applyFont="1" applyFill="1" applyBorder="1" applyProtection="1"/>
    <xf numFmtId="1" fontId="5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5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6" xfId="0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5" fillId="0" borderId="0" xfId="0" applyFont="1"/>
    <xf numFmtId="0" fontId="0" fillId="0" borderId="0" xfId="0" applyAlignment="1" applyProtection="1">
      <alignment horizontal="left"/>
      <protection hidden="1"/>
    </xf>
    <xf numFmtId="0" fontId="2" fillId="0" borderId="1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6" xfId="0" applyFont="1" applyBorder="1" applyProtection="1"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textRotation="90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 textRotation="90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5" fillId="0" borderId="6" xfId="0" applyFont="1" applyBorder="1" applyProtection="1">
      <protection locked="0"/>
    </xf>
    <xf numFmtId="1" fontId="12" fillId="2" borderId="2" xfId="0" applyNumberFormat="1" applyFont="1" applyFill="1" applyBorder="1" applyAlignment="1" applyProtection="1">
      <alignment horizontal="center" vertical="center" wrapText="1"/>
    </xf>
    <xf numFmtId="1" fontId="12" fillId="2" borderId="5" xfId="0" applyNumberFormat="1" applyFont="1" applyFill="1" applyBorder="1" applyAlignment="1" applyProtection="1">
      <alignment horizontal="center" vertical="center" wrapText="1"/>
    </xf>
    <xf numFmtId="0" fontId="12" fillId="2" borderId="5" xfId="0" applyFont="1" applyFill="1" applyBorder="1" applyAlignment="1" applyProtection="1">
      <alignment horizontal="center" vertical="center" wrapText="1"/>
    </xf>
    <xf numFmtId="1" fontId="12" fillId="2" borderId="8" xfId="0" applyNumberFormat="1" applyFont="1" applyFill="1" applyBorder="1" applyAlignment="1" applyProtection="1">
      <alignment horizontal="center" vertical="center" wrapText="1"/>
    </xf>
    <xf numFmtId="1" fontId="12" fillId="2" borderId="8" xfId="0" applyNumberFormat="1" applyFont="1" applyFill="1" applyBorder="1" applyAlignment="1" applyProtection="1">
      <alignment horizontal="center" vertical="center" wrapText="1"/>
      <protection locked="0"/>
    </xf>
    <xf numFmtId="1" fontId="12" fillId="2" borderId="6" xfId="0" applyNumberFormat="1" applyFont="1" applyFill="1" applyBorder="1" applyAlignment="1" applyProtection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11" fillId="0" borderId="0" xfId="0" applyFont="1" applyAlignment="1" applyProtection="1">
      <alignment horizontal="center" vertical="top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12" fillId="2" borderId="6" xfId="0" applyFont="1" applyFill="1" applyBorder="1" applyProtection="1"/>
    <xf numFmtId="0" fontId="5" fillId="0" borderId="0" xfId="0" applyFont="1" applyProtection="1">
      <protection hidden="1"/>
    </xf>
    <xf numFmtId="1" fontId="12" fillId="0" borderId="6" xfId="0" applyNumberFormat="1" applyFont="1" applyBorder="1" applyProtection="1">
      <protection locked="0"/>
    </xf>
    <xf numFmtId="0" fontId="12" fillId="2" borderId="8" xfId="0" applyFont="1" applyFill="1" applyBorder="1" applyAlignment="1" applyProtection="1">
      <alignment horizontal="center" vertical="center" wrapText="1"/>
      <protection locked="0"/>
    </xf>
    <xf numFmtId="0" fontId="12" fillId="2" borderId="6" xfId="0" applyFont="1" applyFill="1" applyBorder="1" applyAlignment="1" applyProtection="1">
      <alignment horizontal="center" vertical="center" wrapText="1"/>
    </xf>
    <xf numFmtId="1" fontId="5" fillId="0" borderId="0" xfId="0" applyNumberFormat="1" applyFont="1" applyAlignment="1" applyProtection="1">
      <alignment horizontal="center" vertical="center" wrapText="1"/>
      <protection hidden="1"/>
    </xf>
    <xf numFmtId="0" fontId="15" fillId="0" borderId="0" xfId="0" applyFont="1" applyProtection="1">
      <protection locked="0"/>
    </xf>
    <xf numFmtId="182" fontId="15" fillId="0" borderId="0" xfId="0" applyNumberFormat="1" applyFont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6" fillId="0" borderId="16" xfId="0" applyFont="1" applyBorder="1" applyAlignment="1" applyProtection="1">
      <alignment horizontal="center" vertical="center" wrapText="1"/>
      <protection locked="0"/>
    </xf>
    <xf numFmtId="0" fontId="17" fillId="0" borderId="16" xfId="0" applyFont="1" applyBorder="1" applyAlignment="1" applyProtection="1">
      <alignment horizontal="center" vertical="center" wrapText="1"/>
      <protection locked="0"/>
    </xf>
    <xf numFmtId="0" fontId="18" fillId="0" borderId="17" xfId="0" applyFont="1" applyFill="1" applyBorder="1" applyAlignment="1" applyProtection="1">
      <alignment horizontal="center" vertical="center" wrapText="1"/>
      <protection locked="0"/>
    </xf>
    <xf numFmtId="0" fontId="18" fillId="3" borderId="17" xfId="0" applyFont="1" applyFill="1" applyBorder="1" applyAlignment="1" applyProtection="1">
      <alignment horizontal="center" vertical="center" wrapText="1"/>
      <protection locked="0"/>
    </xf>
    <xf numFmtId="0" fontId="18" fillId="0" borderId="18" xfId="0" applyFont="1" applyFill="1" applyBorder="1" applyAlignment="1" applyProtection="1">
      <alignment horizontal="center" vertical="center" wrapText="1"/>
      <protection locked="0"/>
    </xf>
    <xf numFmtId="0" fontId="18" fillId="3" borderId="18" xfId="0" applyFont="1" applyFill="1" applyBorder="1" applyAlignment="1" applyProtection="1">
      <alignment horizontal="center" vertical="center" wrapText="1"/>
      <protection locked="0"/>
    </xf>
    <xf numFmtId="0" fontId="18" fillId="0" borderId="16" xfId="0" applyFont="1" applyFill="1" applyBorder="1" applyAlignment="1" applyProtection="1">
      <alignment horizontal="center" vertical="center" wrapText="1"/>
      <protection locked="0"/>
    </xf>
    <xf numFmtId="0" fontId="18" fillId="3" borderId="16" xfId="0" applyFont="1" applyFill="1" applyBorder="1" applyAlignment="1" applyProtection="1">
      <alignment horizontal="center" vertical="center" wrapText="1"/>
      <protection locked="0"/>
    </xf>
    <xf numFmtId="0" fontId="15" fillId="0" borderId="17" xfId="0" applyFont="1" applyBorder="1" applyAlignment="1" applyProtection="1">
      <alignment horizontal="center"/>
      <protection locked="0"/>
    </xf>
    <xf numFmtId="0" fontId="15" fillId="4" borderId="16" xfId="0" applyFont="1" applyFill="1" applyBorder="1" applyProtection="1"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16" xfId="0" applyFont="1" applyBorder="1" applyProtection="1">
      <protection locked="0"/>
    </xf>
    <xf numFmtId="0" fontId="15" fillId="0" borderId="17" xfId="0" applyFont="1" applyBorder="1" applyAlignment="1" applyProtection="1">
      <alignment horizontal="center" vertical="center" wrapText="1"/>
      <protection locked="0"/>
    </xf>
    <xf numFmtId="0" fontId="15" fillId="0" borderId="16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6" fillId="0" borderId="16" xfId="0" applyFont="1" applyBorder="1" applyAlignment="1" applyProtection="1">
      <alignment horizontal="right"/>
    </xf>
    <xf numFmtId="0" fontId="16" fillId="0" borderId="17" xfId="0" applyFont="1" applyBorder="1" applyAlignment="1" applyProtection="1">
      <alignment horizontal="right" vertical="center" wrapText="1"/>
    </xf>
    <xf numFmtId="0" fontId="16" fillId="0" borderId="16" xfId="0" applyFont="1" applyBorder="1" applyAlignment="1" applyProtection="1">
      <alignment horizontal="right" vertical="center" wrapText="1"/>
    </xf>
    <xf numFmtId="0" fontId="2" fillId="0" borderId="0" xfId="0" applyFont="1" applyAlignment="1" applyProtection="1">
      <alignment horizontal="left"/>
      <protection locked="0"/>
    </xf>
    <xf numFmtId="0" fontId="8" fillId="0" borderId="0" xfId="0" applyFont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/>
      <protection locked="0"/>
    </xf>
    <xf numFmtId="0" fontId="18" fillId="0" borderId="16" xfId="0" applyFont="1" applyBorder="1" applyAlignment="1" applyProtection="1">
      <alignment horizontal="center" vertical="center" wrapText="1"/>
      <protection locked="0"/>
    </xf>
    <xf numFmtId="0" fontId="18" fillId="0" borderId="16" xfId="0" applyFont="1" applyBorder="1" applyAlignment="1" applyProtection="1">
      <alignment horizontal="center" vertical="center" textRotation="90" wrapText="1"/>
      <protection locked="0"/>
    </xf>
    <xf numFmtId="183" fontId="18" fillId="0" borderId="16" xfId="0" applyNumberFormat="1" applyFont="1" applyBorder="1" applyAlignment="1" applyProtection="1">
      <alignment horizontal="center" vertical="center" wrapText="1"/>
      <protection locked="0"/>
    </xf>
    <xf numFmtId="0" fontId="18" fillId="4" borderId="17" xfId="0" applyFont="1" applyFill="1" applyBorder="1" applyAlignment="1" applyProtection="1">
      <alignment horizontal="center" vertical="center" wrapText="1"/>
      <protection locked="0"/>
    </xf>
    <xf numFmtId="0" fontId="18" fillId="4" borderId="18" xfId="0" applyFont="1" applyFill="1" applyBorder="1" applyAlignment="1" applyProtection="1">
      <alignment horizontal="center" vertical="center" wrapText="1"/>
      <protection locked="0"/>
    </xf>
    <xf numFmtId="0" fontId="18" fillId="4" borderId="16" xfId="0" applyFont="1" applyFill="1" applyBorder="1" applyAlignment="1" applyProtection="1">
      <alignment horizontal="center" vertical="center" wrapText="1"/>
      <protection locked="0"/>
    </xf>
    <xf numFmtId="0" fontId="18" fillId="0" borderId="16" xfId="0" applyFont="1" applyBorder="1" applyAlignment="1" applyProtection="1">
      <alignment horizontal="center"/>
      <protection locked="0"/>
    </xf>
    <xf numFmtId="0" fontId="15" fillId="2" borderId="17" xfId="0" applyFont="1" applyFill="1" applyBorder="1" applyAlignment="1" applyProtection="1">
      <alignment horizontal="center"/>
    </xf>
    <xf numFmtId="0" fontId="15" fillId="0" borderId="19" xfId="0" applyFont="1" applyBorder="1" applyAlignment="1" applyProtection="1">
      <alignment horizontal="center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2" borderId="18" xfId="0" applyFont="1" applyFill="1" applyBorder="1" applyAlignment="1" applyProtection="1">
      <alignment horizontal="center"/>
    </xf>
    <xf numFmtId="0" fontId="15" fillId="0" borderId="21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16" fillId="2" borderId="16" xfId="0" applyFont="1" applyFill="1" applyBorder="1" applyProtection="1"/>
    <xf numFmtId="0" fontId="16" fillId="2" borderId="17" xfId="0" applyFont="1" applyFill="1" applyBorder="1" applyAlignment="1" applyProtection="1">
      <alignment horizontal="center"/>
    </xf>
    <xf numFmtId="0" fontId="16" fillId="2" borderId="18" xfId="0" applyFont="1" applyFill="1" applyBorder="1" applyAlignment="1" applyProtection="1">
      <alignment horizontal="center"/>
    </xf>
    <xf numFmtId="0" fontId="16" fillId="0" borderId="0" xfId="0" applyFont="1" applyAlignment="1" applyProtection="1">
      <alignment horizontal="left"/>
      <protection locked="0"/>
    </xf>
    <xf numFmtId="0" fontId="17" fillId="0" borderId="0" xfId="0" applyFont="1" applyAlignment="1" applyProtection="1">
      <alignment horizontal="right" vertical="top"/>
      <protection locked="0"/>
    </xf>
    <xf numFmtId="0" fontId="18" fillId="0" borderId="23" xfId="0" applyFont="1" applyBorder="1" applyAlignment="1" applyProtection="1">
      <alignment horizontal="center" vertical="center" wrapText="1"/>
      <protection locked="0"/>
    </xf>
    <xf numFmtId="0" fontId="18" fillId="0" borderId="24" xfId="0" applyFont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left" vertical="top"/>
      <protection locked="0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top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5" fillId="0" borderId="17" xfId="0" applyFont="1" applyBorder="1" applyAlignment="1" applyProtection="1" quotePrefix="1">
      <alignment horizontal="center"/>
      <protection locked="0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"/>
  <dimension ref="B3:M45"/>
  <sheetViews>
    <sheetView view="pageBreakPreview" zoomScaleNormal="100" workbookViewId="0">
      <selection activeCell="C15" sqref="C15:M15"/>
    </sheetView>
  </sheetViews>
  <sheetFormatPr defaultColWidth="9" defaultRowHeight="14.4"/>
  <cols>
    <col min="1" max="1" width="6.42592592592593" customWidth="1"/>
    <col min="4" max="4" width="12" customWidth="1"/>
    <col min="10" max="10" width="13.1388888888889" customWidth="1"/>
    <col min="12" max="12" width="11.712962962963" customWidth="1"/>
    <col min="13" max="13" width="2.13888888888889" customWidth="1"/>
  </cols>
  <sheetData>
    <row r="3" spans="2:13">
      <c r="B3" s="299" t="s">
        <v>0</v>
      </c>
      <c r="C3" s="38"/>
      <c r="D3" s="38"/>
      <c r="E3" s="39"/>
      <c r="F3" s="39"/>
      <c r="G3" s="39"/>
      <c r="H3" s="39"/>
      <c r="I3" s="39"/>
      <c r="J3" s="39"/>
      <c r="K3" s="308" t="s">
        <v>1</v>
      </c>
      <c r="L3" s="308"/>
      <c r="M3" s="39"/>
    </row>
    <row r="4" spans="2:13"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5" spans="2:13"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2:13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</row>
    <row r="7" spans="2:13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</row>
    <row r="8" ht="69" customHeight="1" spans="2:13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</row>
    <row r="9" ht="30.6" spans="2:13">
      <c r="B9" s="39"/>
      <c r="C9" s="39"/>
      <c r="D9" s="39"/>
      <c r="E9" s="39"/>
      <c r="F9" s="300"/>
      <c r="G9" s="300"/>
      <c r="H9" s="300"/>
      <c r="I9" s="300"/>
      <c r="J9" s="39"/>
      <c r="K9" s="39"/>
      <c r="L9" s="39"/>
      <c r="M9" s="39"/>
    </row>
    <row r="10" ht="32.4" spans="2:13">
      <c r="B10" s="39"/>
      <c r="C10" s="39"/>
      <c r="D10" s="39"/>
      <c r="E10" s="39"/>
      <c r="F10" s="301"/>
      <c r="G10" s="301"/>
      <c r="H10" s="301"/>
      <c r="I10" s="301"/>
      <c r="J10" s="39"/>
      <c r="K10" s="39"/>
      <c r="L10" s="39"/>
      <c r="M10" s="39"/>
    </row>
    <row r="11" ht="83.25" customHeight="1" spans="2:13">
      <c r="B11" s="39"/>
      <c r="C11" s="39"/>
      <c r="D11" s="302" t="s">
        <v>2</v>
      </c>
      <c r="E11" s="302"/>
      <c r="F11" s="302"/>
      <c r="G11" s="302"/>
      <c r="H11" s="302"/>
      <c r="I11" s="302"/>
      <c r="J11" s="302"/>
      <c r="K11" s="39"/>
      <c r="L11" s="39"/>
      <c r="M11" s="39"/>
    </row>
    <row r="12" ht="24.75" customHeight="1" spans="2:13">
      <c r="B12" s="39"/>
      <c r="C12" s="39"/>
      <c r="D12" s="303" t="s">
        <v>3</v>
      </c>
      <c r="E12" s="303"/>
      <c r="F12" s="303"/>
      <c r="G12" s="303"/>
      <c r="H12" s="303"/>
      <c r="I12" s="303"/>
      <c r="J12" s="303"/>
      <c r="K12" s="39"/>
      <c r="L12" s="39"/>
      <c r="M12" s="39"/>
    </row>
    <row r="13" ht="24" customHeight="1" spans="2:13">
      <c r="B13" s="39"/>
      <c r="C13" s="39"/>
      <c r="D13" s="304" t="s">
        <v>4</v>
      </c>
      <c r="E13" s="304"/>
      <c r="F13" s="304"/>
      <c r="G13" s="304"/>
      <c r="H13" s="304"/>
      <c r="I13" s="304"/>
      <c r="J13" s="308"/>
      <c r="K13" s="39"/>
      <c r="L13" s="39"/>
      <c r="M13" s="39"/>
    </row>
    <row r="14" ht="21.75" customHeight="1" spans="2:13">
      <c r="B14" s="39"/>
      <c r="C14" s="38" t="s">
        <v>5</v>
      </c>
      <c r="D14" s="38"/>
      <c r="E14" s="38"/>
      <c r="F14" s="38"/>
      <c r="G14" s="38"/>
      <c r="H14" s="38"/>
      <c r="I14" s="38"/>
      <c r="J14" s="38"/>
      <c r="K14" s="38"/>
      <c r="L14" s="38"/>
      <c r="M14" s="39"/>
    </row>
    <row r="15" ht="21" customHeight="1" spans="2:13">
      <c r="B15" s="39"/>
      <c r="C15" s="305" t="s">
        <v>6</v>
      </c>
      <c r="D15" s="305"/>
      <c r="E15" s="305"/>
      <c r="F15" s="305"/>
      <c r="G15" s="305"/>
      <c r="H15" s="305"/>
      <c r="I15" s="305"/>
      <c r="J15" s="305"/>
      <c r="K15" s="305"/>
      <c r="L15" s="305"/>
      <c r="M15" s="305"/>
    </row>
    <row r="16" ht="18.75" customHeight="1" spans="2:13">
      <c r="B16" s="39"/>
      <c r="C16" s="38" t="s">
        <v>7</v>
      </c>
      <c r="D16" s="38"/>
      <c r="E16" s="38"/>
      <c r="F16" s="38"/>
      <c r="G16" s="38"/>
      <c r="H16" s="38"/>
      <c r="I16" s="38"/>
      <c r="J16" s="38"/>
      <c r="K16" s="38"/>
      <c r="L16" s="38"/>
      <c r="M16" s="39"/>
    </row>
    <row r="17" ht="18" customHeight="1" spans="2:13">
      <c r="B17" s="39"/>
      <c r="C17" s="39"/>
      <c r="D17" s="39"/>
      <c r="E17" s="38" t="s">
        <v>8</v>
      </c>
      <c r="F17" s="38"/>
      <c r="G17" s="38"/>
      <c r="H17" s="38"/>
      <c r="I17" s="38"/>
      <c r="J17" s="38"/>
      <c r="K17" s="39"/>
      <c r="L17" s="39"/>
      <c r="M17" s="39"/>
    </row>
    <row r="18" ht="18" customHeight="1" spans="2:13">
      <c r="B18" s="39"/>
      <c r="C18" s="39"/>
      <c r="D18" s="39"/>
      <c r="E18" s="38" t="s">
        <v>9</v>
      </c>
      <c r="F18" s="38"/>
      <c r="G18" s="38"/>
      <c r="H18" s="38"/>
      <c r="I18" s="38"/>
      <c r="J18" s="38"/>
      <c r="K18" s="39"/>
      <c r="L18" s="39"/>
      <c r="M18" s="39"/>
    </row>
    <row r="19" ht="16.5" customHeight="1" spans="2:13">
      <c r="B19" s="39"/>
      <c r="C19" s="39" t="s">
        <v>10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20.25" customHeight="1" spans="2:13">
      <c r="B20" s="39"/>
      <c r="C20" s="38" t="s">
        <v>11</v>
      </c>
      <c r="D20" s="38"/>
      <c r="E20" s="38"/>
      <c r="F20" s="38"/>
      <c r="G20" s="38"/>
      <c r="H20" s="38"/>
      <c r="I20" s="38"/>
      <c r="J20" s="38"/>
      <c r="K20" s="38"/>
      <c r="L20" s="38"/>
      <c r="M20" s="39"/>
    </row>
    <row r="21" ht="18" customHeight="1" spans="2:13">
      <c r="B21" s="39"/>
      <c r="C21" s="39"/>
      <c r="D21" s="38" t="s">
        <v>12</v>
      </c>
      <c r="E21" s="38"/>
      <c r="F21" s="38"/>
      <c r="G21" s="38"/>
      <c r="H21" s="38"/>
      <c r="I21" s="38"/>
      <c r="J21" s="38"/>
      <c r="K21" s="38"/>
      <c r="L21" s="38"/>
      <c r="M21" s="39"/>
    </row>
    <row r="22" ht="16.5" customHeight="1" spans="2:13">
      <c r="B22" s="39"/>
      <c r="C22" s="38" t="s">
        <v>13</v>
      </c>
      <c r="D22" s="38"/>
      <c r="E22" s="38"/>
      <c r="F22" s="38"/>
      <c r="G22" s="38"/>
      <c r="H22" s="38"/>
      <c r="I22" s="38"/>
      <c r="J22" s="38"/>
      <c r="K22" s="38"/>
      <c r="L22" s="38"/>
      <c r="M22" s="39"/>
    </row>
    <row r="23" ht="18" customHeight="1" spans="2:13">
      <c r="B23" s="39"/>
      <c r="C23" s="39"/>
      <c r="D23" s="38" t="s">
        <v>14</v>
      </c>
      <c r="E23" s="38"/>
      <c r="F23" s="38"/>
      <c r="G23" s="38"/>
      <c r="H23" s="38"/>
      <c r="I23" s="38"/>
      <c r="J23" s="38"/>
      <c r="K23" s="38"/>
      <c r="L23" s="38"/>
      <c r="M23" s="39"/>
    </row>
    <row r="24" spans="2:13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</row>
    <row r="25" spans="2:13">
      <c r="B25" s="39"/>
      <c r="C25" s="38" t="s">
        <v>15</v>
      </c>
      <c r="D25" s="38"/>
      <c r="E25" s="38"/>
      <c r="F25" s="38"/>
      <c r="G25" s="38"/>
      <c r="H25" s="38"/>
      <c r="I25" s="38"/>
      <c r="J25" s="38"/>
      <c r="K25" s="38"/>
      <c r="L25" s="38"/>
      <c r="M25" s="39"/>
    </row>
    <row r="26" spans="2:13">
      <c r="B26" s="39"/>
      <c r="C26" s="39"/>
      <c r="D26" s="39"/>
      <c r="E26" s="39"/>
      <c r="F26" s="39"/>
      <c r="G26" s="39"/>
      <c r="H26" s="306" t="s">
        <v>16</v>
      </c>
      <c r="I26" s="306"/>
      <c r="J26" s="39"/>
      <c r="K26" s="39"/>
      <c r="L26" s="39"/>
      <c r="M26" s="39"/>
    </row>
    <row r="27" spans="2:13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spans="2:13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spans="2:13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</row>
    <row r="30" spans="2:13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48" customHeight="1" spans="2:13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spans="2:13">
      <c r="B32" s="39" t="s">
        <v>17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spans="2:13">
      <c r="B33" s="38" t="s">
        <v>18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</row>
    <row r="34" spans="2:13">
      <c r="B34" s="38" t="s">
        <v>19</v>
      </c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</row>
    <row r="35" spans="2:13">
      <c r="B35" s="38" t="s">
        <v>20</v>
      </c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</row>
    <row r="36" spans="2:13">
      <c r="B36" s="38" t="s">
        <v>21</v>
      </c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</row>
    <row r="37" spans="2:13">
      <c r="B37" s="38" t="s">
        <v>21</v>
      </c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</row>
    <row r="38" spans="2:13">
      <c r="B38" s="38" t="s">
        <v>21</v>
      </c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</row>
    <row r="39" spans="2:13">
      <c r="B39" s="38" t="s">
        <v>22</v>
      </c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</row>
    <row r="40" spans="2:13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</row>
    <row r="41" spans="2:13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</row>
    <row r="42" spans="2:13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</row>
    <row r="43" spans="2:13">
      <c r="B43" s="39"/>
      <c r="C43" s="39"/>
      <c r="D43" s="39"/>
      <c r="E43" s="39"/>
      <c r="F43" s="39"/>
      <c r="G43" s="39"/>
      <c r="H43" s="39"/>
      <c r="I43" s="39"/>
      <c r="J43" s="38" t="s">
        <v>23</v>
      </c>
      <c r="K43" s="38"/>
      <c r="L43" s="38"/>
      <c r="M43" s="38"/>
    </row>
    <row r="45" spans="7:7">
      <c r="G45" s="307">
        <v>1</v>
      </c>
    </row>
  </sheetData>
  <mergeCells count="27">
    <mergeCell ref="B3:D3"/>
    <mergeCell ref="K3:L3"/>
    <mergeCell ref="F9:I9"/>
    <mergeCell ref="D11:J11"/>
    <mergeCell ref="D12:J12"/>
    <mergeCell ref="D13:I13"/>
    <mergeCell ref="C14:L14"/>
    <mergeCell ref="C15:M15"/>
    <mergeCell ref="C16:L16"/>
    <mergeCell ref="E17:J17"/>
    <mergeCell ref="E18:J18"/>
    <mergeCell ref="C19:L19"/>
    <mergeCell ref="C20:L20"/>
    <mergeCell ref="D21:L21"/>
    <mergeCell ref="C22:L22"/>
    <mergeCell ref="D23:L23"/>
    <mergeCell ref="C25:L25"/>
    <mergeCell ref="H26:I26"/>
    <mergeCell ref="B32:M32"/>
    <mergeCell ref="B33:M33"/>
    <mergeCell ref="B34:M34"/>
    <mergeCell ref="B35:M35"/>
    <mergeCell ref="B36:M36"/>
    <mergeCell ref="B37:M37"/>
    <mergeCell ref="B38:M38"/>
    <mergeCell ref="B39:M39"/>
    <mergeCell ref="J43:M43"/>
  </mergeCells>
  <pageMargins left="0.15748031496063" right="0.12" top="0.2" bottom="0.2" header="0.15" footer="0.21"/>
  <pageSetup paperSize="9" scale="8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2"/>
  <dimension ref="A1:AA53"/>
  <sheetViews>
    <sheetView topLeftCell="A23" workbookViewId="0">
      <selection activeCell="U29" sqref="U29:V30"/>
    </sheetView>
  </sheetViews>
  <sheetFormatPr defaultColWidth="9" defaultRowHeight="14.4"/>
  <cols>
    <col min="1" max="1" width="4.71296296296296" style="108" customWidth="1"/>
    <col min="2" max="2" width="31" style="108" customWidth="1"/>
    <col min="3" max="16" width="5.13888888888889" style="108" customWidth="1"/>
    <col min="17" max="17" width="5.85185185185185" style="108" customWidth="1"/>
    <col min="18" max="18" width="5.28703703703704" style="108" customWidth="1"/>
    <col min="19" max="19" width="8.28703703703704" style="108" customWidth="1"/>
    <col min="20" max="20" width="7.71296296296296" style="108" customWidth="1"/>
    <col min="21" max="21" width="5" style="108" customWidth="1"/>
    <col min="22" max="22" width="7.71296296296296" style="108" customWidth="1"/>
    <col min="23" max="23" width="8.57407407407407" style="108" customWidth="1"/>
    <col min="24" max="24" width="14.4259259259259" style="108" customWidth="1"/>
    <col min="25" max="25" width="7.13888888888889" style="108" customWidth="1"/>
    <col min="26" max="26" width="6.28703703703704" style="108" customWidth="1"/>
    <col min="27" max="16384" width="9.13888888888889" style="108"/>
  </cols>
  <sheetData>
    <row r="1" ht="13.5" customHeight="1" spans="1:27">
      <c r="A1" s="252"/>
      <c r="B1" s="253"/>
      <c r="C1" s="253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78" t="s">
        <v>24</v>
      </c>
      <c r="S1" s="278" t="s">
        <v>25</v>
      </c>
      <c r="T1" s="278" t="s">
        <v>26</v>
      </c>
      <c r="U1" s="278"/>
      <c r="V1" s="278"/>
      <c r="W1" s="278"/>
      <c r="X1" s="279" t="s">
        <v>27</v>
      </c>
      <c r="Y1" s="279" t="s">
        <v>28</v>
      </c>
      <c r="Z1" s="279" t="s">
        <v>29</v>
      </c>
      <c r="AA1" s="252"/>
    </row>
    <row r="2" ht="16.35" spans="1:27">
      <c r="A2" s="252"/>
      <c r="B2" s="253"/>
      <c r="C2" s="252"/>
      <c r="D2" s="252"/>
      <c r="E2" s="252"/>
      <c r="F2" s="252"/>
      <c r="G2" s="252"/>
      <c r="H2" s="252"/>
      <c r="I2" s="252"/>
      <c r="J2" s="252"/>
      <c r="K2" s="252"/>
      <c r="L2" s="252"/>
      <c r="M2" s="252"/>
      <c r="N2" s="252"/>
      <c r="O2" s="252"/>
      <c r="P2" s="252"/>
      <c r="Q2" s="252"/>
      <c r="R2" s="278" t="s">
        <v>30</v>
      </c>
      <c r="S2" s="278"/>
      <c r="T2" s="278" t="s">
        <v>31</v>
      </c>
      <c r="U2" s="278" t="s">
        <v>32</v>
      </c>
      <c r="V2" s="278"/>
      <c r="W2" s="278"/>
      <c r="X2" s="279"/>
      <c r="Y2" s="279"/>
      <c r="Z2" s="279"/>
      <c r="AA2" s="252"/>
    </row>
    <row r="3" ht="34.5" customHeight="1" spans="1:27">
      <c r="A3" s="252"/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2"/>
      <c r="P3" s="252"/>
      <c r="Q3" s="252"/>
      <c r="R3" s="278"/>
      <c r="S3" s="278"/>
      <c r="T3" s="278"/>
      <c r="U3" s="278" t="s">
        <v>33</v>
      </c>
      <c r="V3" s="278" t="s">
        <v>34</v>
      </c>
      <c r="W3" s="278"/>
      <c r="X3" s="279"/>
      <c r="Y3" s="279"/>
      <c r="Z3" s="279"/>
      <c r="AA3" s="252"/>
    </row>
    <row r="4" ht="16.35" spans="1:27">
      <c r="A4" s="254" t="s">
        <v>35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  <c r="M4" s="254"/>
      <c r="N4" s="252"/>
      <c r="O4" s="252"/>
      <c r="P4" s="252"/>
      <c r="Q4" s="252"/>
      <c r="R4" s="278"/>
      <c r="S4" s="278"/>
      <c r="T4" s="278">
        <v>2</v>
      </c>
      <c r="U4" s="278"/>
      <c r="V4" s="278">
        <v>8</v>
      </c>
      <c r="W4" s="278"/>
      <c r="X4" s="278"/>
      <c r="Y4" s="278"/>
      <c r="Z4" s="278"/>
      <c r="AA4" s="252"/>
    </row>
    <row r="5" ht="16.35" spans="1:27">
      <c r="A5" s="252"/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80" t="s">
        <v>36</v>
      </c>
      <c r="S5" s="278">
        <v>9</v>
      </c>
      <c r="T5" s="278" t="s">
        <v>37</v>
      </c>
      <c r="U5" s="278">
        <v>16</v>
      </c>
      <c r="V5" s="278" t="s">
        <v>38</v>
      </c>
      <c r="W5" s="278">
        <v>20</v>
      </c>
      <c r="X5" s="278">
        <v>21</v>
      </c>
      <c r="Y5" s="278" t="s">
        <v>39</v>
      </c>
      <c r="Z5" s="278">
        <v>25</v>
      </c>
      <c r="AA5" s="252"/>
    </row>
    <row r="6" ht="15.75" customHeight="1" spans="1:27">
      <c r="A6" s="255" t="s">
        <v>40</v>
      </c>
      <c r="B6" s="255" t="s">
        <v>41</v>
      </c>
      <c r="C6" s="256" t="s">
        <v>42</v>
      </c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78"/>
      <c r="O6" s="278"/>
      <c r="P6" s="278"/>
      <c r="Q6" s="278"/>
      <c r="R6" s="278"/>
      <c r="S6" s="278" t="s">
        <v>43</v>
      </c>
      <c r="T6" s="278" t="s">
        <v>44</v>
      </c>
      <c r="U6" s="278" t="s">
        <v>45</v>
      </c>
      <c r="V6" s="278"/>
      <c r="W6" s="278" t="s">
        <v>46</v>
      </c>
      <c r="X6" s="278" t="s">
        <v>47</v>
      </c>
      <c r="Y6" s="278"/>
      <c r="Z6" s="278"/>
      <c r="AA6" s="252"/>
    </row>
    <row r="7" ht="15" customHeight="1" spans="1:27">
      <c r="A7" s="255"/>
      <c r="B7" s="255"/>
      <c r="C7" s="257">
        <v>1</v>
      </c>
      <c r="D7" s="257">
        <v>2</v>
      </c>
      <c r="E7" s="257">
        <v>3</v>
      </c>
      <c r="F7" s="257">
        <v>4</v>
      </c>
      <c r="G7" s="257">
        <v>5</v>
      </c>
      <c r="H7" s="258">
        <v>6</v>
      </c>
      <c r="I7" s="258">
        <v>7</v>
      </c>
      <c r="J7" s="258">
        <v>8</v>
      </c>
      <c r="K7" s="257">
        <v>9</v>
      </c>
      <c r="L7" s="257">
        <v>10</v>
      </c>
      <c r="M7" s="257">
        <v>11</v>
      </c>
      <c r="N7" s="257">
        <v>12</v>
      </c>
      <c r="O7" s="258">
        <v>13</v>
      </c>
      <c r="P7" s="258">
        <v>14</v>
      </c>
      <c r="Q7" s="257">
        <v>15</v>
      </c>
      <c r="R7" s="281"/>
      <c r="S7" s="278"/>
      <c r="T7" s="278"/>
      <c r="U7" s="278"/>
      <c r="V7" s="278"/>
      <c r="W7" s="278"/>
      <c r="X7" s="278">
        <v>1</v>
      </c>
      <c r="Y7" s="278">
        <v>8</v>
      </c>
      <c r="Z7" s="278"/>
      <c r="AA7" s="252"/>
    </row>
    <row r="8" ht="10.5" customHeight="1" spans="1:27">
      <c r="A8" s="255"/>
      <c r="B8" s="255"/>
      <c r="C8" s="259"/>
      <c r="D8" s="259"/>
      <c r="E8" s="259"/>
      <c r="F8" s="259"/>
      <c r="G8" s="259"/>
      <c r="H8" s="260"/>
      <c r="I8" s="260"/>
      <c r="J8" s="260"/>
      <c r="K8" s="259"/>
      <c r="L8" s="259"/>
      <c r="M8" s="259"/>
      <c r="N8" s="259"/>
      <c r="O8" s="260"/>
      <c r="P8" s="260"/>
      <c r="Q8" s="259"/>
      <c r="R8" s="282"/>
      <c r="S8" s="278"/>
      <c r="T8" s="278"/>
      <c r="U8" s="278"/>
      <c r="V8" s="278"/>
      <c r="W8" s="278"/>
      <c r="X8" s="278"/>
      <c r="Y8" s="296"/>
      <c r="Z8" s="297"/>
      <c r="AA8" s="252"/>
    </row>
    <row r="9" ht="13.5" customHeight="1" spans="1:27">
      <c r="A9" s="255"/>
      <c r="B9" s="255"/>
      <c r="C9" s="261">
        <v>16</v>
      </c>
      <c r="D9" s="261">
        <v>17</v>
      </c>
      <c r="E9" s="261">
        <v>18</v>
      </c>
      <c r="F9" s="261">
        <v>19</v>
      </c>
      <c r="G9" s="262">
        <v>20</v>
      </c>
      <c r="H9" s="262">
        <v>21</v>
      </c>
      <c r="I9" s="261">
        <v>22</v>
      </c>
      <c r="J9" s="261">
        <v>23</v>
      </c>
      <c r="K9" s="261">
        <v>24</v>
      </c>
      <c r="L9" s="261">
        <v>25</v>
      </c>
      <c r="M9" s="261">
        <v>26</v>
      </c>
      <c r="N9" s="262">
        <v>27</v>
      </c>
      <c r="O9" s="262">
        <v>28</v>
      </c>
      <c r="P9" s="261">
        <v>29</v>
      </c>
      <c r="Q9" s="261">
        <v>30</v>
      </c>
      <c r="R9" s="283">
        <v>31</v>
      </c>
      <c r="S9" s="278"/>
      <c r="T9" s="278" t="s">
        <v>48</v>
      </c>
      <c r="U9" s="278"/>
      <c r="V9" s="278"/>
      <c r="W9" s="278"/>
      <c r="X9" s="278" t="s">
        <v>49</v>
      </c>
      <c r="Y9" s="278" t="s">
        <v>50</v>
      </c>
      <c r="Z9" s="278"/>
      <c r="AA9" s="252"/>
    </row>
    <row r="10" ht="11.25" customHeight="1" spans="1:27">
      <c r="A10" s="255"/>
      <c r="B10" s="255"/>
      <c r="C10" s="261"/>
      <c r="D10" s="261"/>
      <c r="E10" s="261"/>
      <c r="F10" s="261"/>
      <c r="G10" s="262"/>
      <c r="H10" s="262"/>
      <c r="I10" s="261"/>
      <c r="J10" s="261"/>
      <c r="K10" s="261"/>
      <c r="L10" s="261"/>
      <c r="M10" s="261"/>
      <c r="N10" s="262"/>
      <c r="O10" s="262"/>
      <c r="P10" s="261"/>
      <c r="Q10" s="261"/>
      <c r="R10" s="283"/>
      <c r="S10" s="278"/>
      <c r="T10" s="278"/>
      <c r="U10" s="278"/>
      <c r="V10" s="278"/>
      <c r="W10" s="278"/>
      <c r="X10" s="284" t="s">
        <v>51</v>
      </c>
      <c r="Y10" s="284" t="s">
        <v>51</v>
      </c>
      <c r="Z10" s="284"/>
      <c r="AA10" s="252"/>
    </row>
    <row r="11" ht="16.35" spans="1:27">
      <c r="A11" s="263">
        <v>1</v>
      </c>
      <c r="B11" s="263" t="s">
        <v>52</v>
      </c>
      <c r="C11" s="264">
        <v>8</v>
      </c>
      <c r="D11" s="264">
        <v>8</v>
      </c>
      <c r="E11" s="264">
        <v>8</v>
      </c>
      <c r="F11" s="264">
        <v>8</v>
      </c>
      <c r="G11" s="264">
        <v>8</v>
      </c>
      <c r="H11" s="264"/>
      <c r="I11" s="264"/>
      <c r="J11" s="264"/>
      <c r="K11" s="264">
        <v>8</v>
      </c>
      <c r="L11" s="264">
        <v>8</v>
      </c>
      <c r="M11" s="264">
        <v>8</v>
      </c>
      <c r="N11" s="264">
        <v>8</v>
      </c>
      <c r="O11" s="264"/>
      <c r="P11" s="264"/>
      <c r="Q11" s="264">
        <v>8</v>
      </c>
      <c r="R11" s="264"/>
      <c r="S11" s="285">
        <f>SUM(C11:R12)</f>
        <v>168</v>
      </c>
      <c r="T11" s="263">
        <v>216</v>
      </c>
      <c r="U11" s="286">
        <v>3</v>
      </c>
      <c r="V11" s="287"/>
      <c r="W11" s="263"/>
      <c r="X11" s="263"/>
      <c r="Y11" s="286"/>
      <c r="Z11" s="287"/>
      <c r="AA11" s="252"/>
    </row>
    <row r="12" ht="16.35" spans="1:27">
      <c r="A12" s="265"/>
      <c r="B12" s="265"/>
      <c r="C12" s="264">
        <v>8</v>
      </c>
      <c r="D12" s="264">
        <v>8</v>
      </c>
      <c r="E12" s="264">
        <v>8</v>
      </c>
      <c r="F12" s="264">
        <v>8</v>
      </c>
      <c r="G12" s="266"/>
      <c r="H12" s="266"/>
      <c r="I12" s="264">
        <v>8</v>
      </c>
      <c r="J12" s="264">
        <v>8</v>
      </c>
      <c r="K12" s="264">
        <v>8</v>
      </c>
      <c r="L12" s="264">
        <v>8</v>
      </c>
      <c r="M12" s="266">
        <v>8</v>
      </c>
      <c r="N12" s="266"/>
      <c r="O12" s="266"/>
      <c r="P12" s="266">
        <v>8</v>
      </c>
      <c r="Q12" s="266">
        <v>8</v>
      </c>
      <c r="R12" s="266"/>
      <c r="S12" s="288"/>
      <c r="T12" s="265"/>
      <c r="U12" s="289"/>
      <c r="V12" s="290"/>
      <c r="W12" s="265"/>
      <c r="X12" s="265"/>
      <c r="Y12" s="289"/>
      <c r="Z12" s="290"/>
      <c r="AA12" s="252"/>
    </row>
    <row r="13" ht="16.35" spans="1:27">
      <c r="A13" s="263">
        <v>2</v>
      </c>
      <c r="B13" s="263" t="s">
        <v>53</v>
      </c>
      <c r="C13" s="264">
        <v>8</v>
      </c>
      <c r="D13" s="264">
        <v>8</v>
      </c>
      <c r="E13" s="264">
        <v>8</v>
      </c>
      <c r="F13" s="264">
        <v>8</v>
      </c>
      <c r="G13" s="264">
        <v>8</v>
      </c>
      <c r="H13" s="264"/>
      <c r="I13" s="264"/>
      <c r="J13" s="264"/>
      <c r="K13" s="264">
        <v>8</v>
      </c>
      <c r="L13" s="264">
        <v>8</v>
      </c>
      <c r="M13" s="264">
        <v>8</v>
      </c>
      <c r="N13" s="264">
        <v>8</v>
      </c>
      <c r="O13" s="264"/>
      <c r="P13" s="264"/>
      <c r="Q13" s="264">
        <v>8</v>
      </c>
      <c r="R13" s="264"/>
      <c r="S13" s="285">
        <f>SUM(C13:R14)</f>
        <v>168</v>
      </c>
      <c r="T13" s="263">
        <v>199</v>
      </c>
      <c r="U13" s="286">
        <v>3</v>
      </c>
      <c r="V13" s="287"/>
      <c r="W13" s="263"/>
      <c r="X13" s="263"/>
      <c r="Y13" s="286"/>
      <c r="Z13" s="287"/>
      <c r="AA13" s="252"/>
    </row>
    <row r="14" ht="16.35" spans="1:27">
      <c r="A14" s="265"/>
      <c r="B14" s="265"/>
      <c r="C14" s="264">
        <v>8</v>
      </c>
      <c r="D14" s="264">
        <v>8</v>
      </c>
      <c r="E14" s="264">
        <v>8</v>
      </c>
      <c r="F14" s="264">
        <v>8</v>
      </c>
      <c r="G14" s="266"/>
      <c r="H14" s="266"/>
      <c r="I14" s="264">
        <v>8</v>
      </c>
      <c r="J14" s="264">
        <v>8</v>
      </c>
      <c r="K14" s="264">
        <v>8</v>
      </c>
      <c r="L14" s="264">
        <v>8</v>
      </c>
      <c r="M14" s="266">
        <v>8</v>
      </c>
      <c r="N14" s="266"/>
      <c r="O14" s="266"/>
      <c r="P14" s="266">
        <v>8</v>
      </c>
      <c r="Q14" s="266">
        <v>8</v>
      </c>
      <c r="R14" s="266"/>
      <c r="S14" s="288"/>
      <c r="T14" s="265"/>
      <c r="U14" s="289"/>
      <c r="V14" s="290"/>
      <c r="W14" s="265"/>
      <c r="X14" s="265"/>
      <c r="Y14" s="289"/>
      <c r="Z14" s="290"/>
      <c r="AA14" s="252"/>
    </row>
    <row r="15" ht="16.35" spans="1:27">
      <c r="A15" s="263">
        <v>3</v>
      </c>
      <c r="B15" s="263" t="s">
        <v>54</v>
      </c>
      <c r="C15" s="264">
        <v>8</v>
      </c>
      <c r="D15" s="264">
        <v>8</v>
      </c>
      <c r="E15" s="264">
        <v>8</v>
      </c>
      <c r="F15" s="264">
        <v>8</v>
      </c>
      <c r="G15" s="264">
        <v>8</v>
      </c>
      <c r="H15" s="264"/>
      <c r="I15" s="264"/>
      <c r="J15" s="264"/>
      <c r="K15" s="264">
        <v>8</v>
      </c>
      <c r="L15" s="264">
        <v>8</v>
      </c>
      <c r="M15" s="264">
        <v>8</v>
      </c>
      <c r="N15" s="264">
        <v>8</v>
      </c>
      <c r="O15" s="264"/>
      <c r="P15" s="264"/>
      <c r="Q15" s="264">
        <v>8</v>
      </c>
      <c r="R15" s="264"/>
      <c r="S15" s="285">
        <f t="shared" ref="S15" si="0">SUM(C15:R16)</f>
        <v>168</v>
      </c>
      <c r="T15" s="263">
        <v>204</v>
      </c>
      <c r="U15" s="286">
        <v>3</v>
      </c>
      <c r="V15" s="287"/>
      <c r="W15" s="263"/>
      <c r="X15" s="263"/>
      <c r="Y15" s="286"/>
      <c r="Z15" s="287"/>
      <c r="AA15" s="252"/>
    </row>
    <row r="16" ht="16.35" spans="1:27">
      <c r="A16" s="265"/>
      <c r="B16" s="265"/>
      <c r="C16" s="264">
        <v>8</v>
      </c>
      <c r="D16" s="264">
        <v>8</v>
      </c>
      <c r="E16" s="264">
        <v>8</v>
      </c>
      <c r="F16" s="264">
        <v>8</v>
      </c>
      <c r="G16" s="266"/>
      <c r="H16" s="266"/>
      <c r="I16" s="264">
        <v>8</v>
      </c>
      <c r="J16" s="264">
        <v>8</v>
      </c>
      <c r="K16" s="264">
        <v>8</v>
      </c>
      <c r="L16" s="264">
        <v>8</v>
      </c>
      <c r="M16" s="266">
        <v>8</v>
      </c>
      <c r="N16" s="266"/>
      <c r="O16" s="266"/>
      <c r="P16" s="266">
        <v>8</v>
      </c>
      <c r="Q16" s="266">
        <v>8</v>
      </c>
      <c r="R16" s="266"/>
      <c r="S16" s="288"/>
      <c r="T16" s="265"/>
      <c r="U16" s="289"/>
      <c r="V16" s="290"/>
      <c r="W16" s="265"/>
      <c r="X16" s="265"/>
      <c r="Y16" s="289"/>
      <c r="Z16" s="290"/>
      <c r="AA16" s="252"/>
    </row>
    <row r="17" ht="16.35" spans="1:27">
      <c r="A17" s="263">
        <v>4</v>
      </c>
      <c r="B17" s="263" t="s">
        <v>55</v>
      </c>
      <c r="C17" s="264">
        <v>8</v>
      </c>
      <c r="D17" s="264">
        <v>8</v>
      </c>
      <c r="E17" s="264">
        <v>8</v>
      </c>
      <c r="F17" s="264">
        <v>8</v>
      </c>
      <c r="G17" s="264">
        <v>8</v>
      </c>
      <c r="H17" s="264"/>
      <c r="I17" s="264"/>
      <c r="J17" s="264"/>
      <c r="K17" s="264">
        <v>8</v>
      </c>
      <c r="L17" s="264">
        <v>8</v>
      </c>
      <c r="M17" s="264">
        <v>8</v>
      </c>
      <c r="N17" s="264">
        <v>8</v>
      </c>
      <c r="O17" s="264"/>
      <c r="P17" s="264"/>
      <c r="Q17" s="264">
        <v>8</v>
      </c>
      <c r="R17" s="264"/>
      <c r="S17" s="285">
        <f t="shared" ref="S17" si="1">SUM(C17:R18)</f>
        <v>168</v>
      </c>
      <c r="T17" s="263">
        <v>202</v>
      </c>
      <c r="U17" s="286">
        <v>3</v>
      </c>
      <c r="V17" s="287"/>
      <c r="W17" s="263"/>
      <c r="X17" s="263"/>
      <c r="Y17" s="286"/>
      <c r="Z17" s="287"/>
      <c r="AA17" s="252"/>
    </row>
    <row r="18" ht="16.35" spans="1:27">
      <c r="A18" s="265"/>
      <c r="B18" s="265"/>
      <c r="C18" s="264">
        <v>8</v>
      </c>
      <c r="D18" s="264">
        <v>8</v>
      </c>
      <c r="E18" s="264">
        <v>8</v>
      </c>
      <c r="F18" s="264">
        <v>8</v>
      </c>
      <c r="G18" s="266"/>
      <c r="H18" s="266"/>
      <c r="I18" s="264">
        <v>8</v>
      </c>
      <c r="J18" s="264">
        <v>8</v>
      </c>
      <c r="K18" s="264">
        <v>8</v>
      </c>
      <c r="L18" s="264">
        <v>8</v>
      </c>
      <c r="M18" s="266">
        <v>8</v>
      </c>
      <c r="N18" s="266"/>
      <c r="O18" s="266"/>
      <c r="P18" s="266">
        <v>8</v>
      </c>
      <c r="Q18" s="266">
        <v>8</v>
      </c>
      <c r="R18" s="266"/>
      <c r="S18" s="288"/>
      <c r="T18" s="265"/>
      <c r="U18" s="289"/>
      <c r="V18" s="290"/>
      <c r="W18" s="265"/>
      <c r="X18" s="265"/>
      <c r="Y18" s="289"/>
      <c r="Z18" s="290"/>
      <c r="AA18" s="252"/>
    </row>
    <row r="19" ht="16.35" spans="1:27">
      <c r="A19" s="263">
        <v>5</v>
      </c>
      <c r="B19" s="263" t="s">
        <v>56</v>
      </c>
      <c r="C19" s="264">
        <v>8</v>
      </c>
      <c r="D19" s="264">
        <v>8</v>
      </c>
      <c r="E19" s="264">
        <v>8</v>
      </c>
      <c r="F19" s="264">
        <v>8</v>
      </c>
      <c r="G19" s="264">
        <v>8</v>
      </c>
      <c r="H19" s="264"/>
      <c r="I19" s="264"/>
      <c r="J19" s="264"/>
      <c r="K19" s="264">
        <v>8</v>
      </c>
      <c r="L19" s="264">
        <v>8</v>
      </c>
      <c r="M19" s="264">
        <v>8</v>
      </c>
      <c r="N19" s="264">
        <v>8</v>
      </c>
      <c r="O19" s="264"/>
      <c r="P19" s="264"/>
      <c r="Q19" s="264">
        <v>8</v>
      </c>
      <c r="R19" s="264"/>
      <c r="S19" s="285">
        <f t="shared" ref="S19" si="2">SUM(C19:R20)</f>
        <v>168</v>
      </c>
      <c r="T19" s="263">
        <v>198</v>
      </c>
      <c r="U19" s="286">
        <v>3</v>
      </c>
      <c r="V19" s="287"/>
      <c r="W19" s="263"/>
      <c r="X19" s="263"/>
      <c r="Y19" s="286"/>
      <c r="Z19" s="287"/>
      <c r="AA19" s="252"/>
    </row>
    <row r="20" ht="16.35" spans="1:27">
      <c r="A20" s="265"/>
      <c r="B20" s="265"/>
      <c r="C20" s="264">
        <v>8</v>
      </c>
      <c r="D20" s="264">
        <v>8</v>
      </c>
      <c r="E20" s="264">
        <v>8</v>
      </c>
      <c r="F20" s="264">
        <v>8</v>
      </c>
      <c r="G20" s="266"/>
      <c r="H20" s="266"/>
      <c r="I20" s="264">
        <v>8</v>
      </c>
      <c r="J20" s="264">
        <v>8</v>
      </c>
      <c r="K20" s="264">
        <v>8</v>
      </c>
      <c r="L20" s="264">
        <v>8</v>
      </c>
      <c r="M20" s="266">
        <v>8</v>
      </c>
      <c r="N20" s="266"/>
      <c r="O20" s="266"/>
      <c r="P20" s="266">
        <v>8</v>
      </c>
      <c r="Q20" s="266">
        <v>8</v>
      </c>
      <c r="R20" s="266"/>
      <c r="S20" s="288"/>
      <c r="T20" s="265"/>
      <c r="U20" s="289"/>
      <c r="V20" s="290"/>
      <c r="W20" s="265"/>
      <c r="X20" s="265"/>
      <c r="Y20" s="289"/>
      <c r="Z20" s="290"/>
      <c r="AA20" s="252"/>
    </row>
    <row r="21" ht="16.35" spans="1:27">
      <c r="A21" s="263">
        <v>6</v>
      </c>
      <c r="B21" s="263" t="s">
        <v>57</v>
      </c>
      <c r="C21" s="264">
        <v>8</v>
      </c>
      <c r="D21" s="264">
        <v>8</v>
      </c>
      <c r="E21" s="264">
        <v>8</v>
      </c>
      <c r="F21" s="264">
        <v>8</v>
      </c>
      <c r="G21" s="264">
        <v>8</v>
      </c>
      <c r="H21" s="264"/>
      <c r="I21" s="264"/>
      <c r="J21" s="264"/>
      <c r="K21" s="264">
        <v>8</v>
      </c>
      <c r="L21" s="264">
        <v>8</v>
      </c>
      <c r="M21" s="264">
        <v>8</v>
      </c>
      <c r="N21" s="264">
        <v>8</v>
      </c>
      <c r="O21" s="264"/>
      <c r="P21" s="264"/>
      <c r="Q21" s="264">
        <v>8</v>
      </c>
      <c r="R21" s="264"/>
      <c r="S21" s="285">
        <f t="shared" ref="S21" si="3">SUM(C21:R22)</f>
        <v>80</v>
      </c>
      <c r="T21" s="263">
        <v>435</v>
      </c>
      <c r="U21" s="286">
        <v>3</v>
      </c>
      <c r="V21" s="287"/>
      <c r="W21" s="263"/>
      <c r="X21" s="263"/>
      <c r="Y21" s="286"/>
      <c r="Z21" s="287"/>
      <c r="AA21" s="252"/>
    </row>
    <row r="22" ht="16.35" spans="1:27">
      <c r="A22" s="265"/>
      <c r="B22" s="265"/>
      <c r="C22" s="264"/>
      <c r="D22" s="264"/>
      <c r="E22" s="264"/>
      <c r="F22" s="264"/>
      <c r="G22" s="266"/>
      <c r="H22" s="266"/>
      <c r="I22" s="264"/>
      <c r="J22" s="264"/>
      <c r="K22" s="264"/>
      <c r="L22" s="264"/>
      <c r="M22" s="266"/>
      <c r="N22" s="266"/>
      <c r="O22" s="266"/>
      <c r="P22" s="266"/>
      <c r="Q22" s="266"/>
      <c r="R22" s="266"/>
      <c r="S22" s="288"/>
      <c r="T22" s="265"/>
      <c r="U22" s="289"/>
      <c r="V22" s="290"/>
      <c r="W22" s="265"/>
      <c r="X22" s="265"/>
      <c r="Y22" s="289"/>
      <c r="Z22" s="290"/>
      <c r="AA22" s="252"/>
    </row>
    <row r="23" ht="16.35" spans="1:27">
      <c r="A23" s="263">
        <v>7</v>
      </c>
      <c r="B23" s="263" t="s">
        <v>58</v>
      </c>
      <c r="C23" s="264">
        <v>8</v>
      </c>
      <c r="D23" s="264">
        <v>8</v>
      </c>
      <c r="E23" s="264">
        <v>8</v>
      </c>
      <c r="F23" s="264">
        <v>8</v>
      </c>
      <c r="G23" s="264">
        <v>8</v>
      </c>
      <c r="H23" s="264"/>
      <c r="I23" s="264"/>
      <c r="J23" s="264"/>
      <c r="K23" s="264">
        <v>8</v>
      </c>
      <c r="L23" s="264">
        <v>8</v>
      </c>
      <c r="M23" s="264">
        <v>8</v>
      </c>
      <c r="N23" s="264">
        <v>8</v>
      </c>
      <c r="O23" s="264"/>
      <c r="P23" s="264"/>
      <c r="Q23" s="264">
        <v>8</v>
      </c>
      <c r="R23" s="264"/>
      <c r="S23" s="285">
        <f t="shared" ref="S23" si="4">SUM(C23:R24)</f>
        <v>168</v>
      </c>
      <c r="T23" s="309" t="s">
        <v>59</v>
      </c>
      <c r="U23" s="286">
        <v>3</v>
      </c>
      <c r="V23" s="287"/>
      <c r="W23" s="263"/>
      <c r="X23" s="263"/>
      <c r="Y23" s="286"/>
      <c r="Z23" s="287"/>
      <c r="AA23" s="252"/>
    </row>
    <row r="24" ht="16.35" spans="1:27">
      <c r="A24" s="265"/>
      <c r="B24" s="265"/>
      <c r="C24" s="264">
        <v>8</v>
      </c>
      <c r="D24" s="264">
        <v>8</v>
      </c>
      <c r="E24" s="264">
        <v>8</v>
      </c>
      <c r="F24" s="264">
        <v>8</v>
      </c>
      <c r="G24" s="266"/>
      <c r="H24" s="266"/>
      <c r="I24" s="264">
        <v>8</v>
      </c>
      <c r="J24" s="264">
        <v>8</v>
      </c>
      <c r="K24" s="264">
        <v>8</v>
      </c>
      <c r="L24" s="264">
        <v>8</v>
      </c>
      <c r="M24" s="266">
        <v>8</v>
      </c>
      <c r="N24" s="266"/>
      <c r="O24" s="266"/>
      <c r="P24" s="266">
        <v>8</v>
      </c>
      <c r="Q24" s="266">
        <v>8</v>
      </c>
      <c r="R24" s="266"/>
      <c r="S24" s="288"/>
      <c r="T24" s="265"/>
      <c r="U24" s="289"/>
      <c r="V24" s="290"/>
      <c r="W24" s="265"/>
      <c r="X24" s="265"/>
      <c r="Y24" s="289"/>
      <c r="Z24" s="290"/>
      <c r="AA24" s="252"/>
    </row>
    <row r="25" ht="16.35" spans="1:27">
      <c r="A25" s="263">
        <v>8</v>
      </c>
      <c r="B25" s="263" t="s">
        <v>60</v>
      </c>
      <c r="C25" s="264" t="s">
        <v>61</v>
      </c>
      <c r="D25" s="264" t="s">
        <v>61</v>
      </c>
      <c r="E25" s="264" t="s">
        <v>61</v>
      </c>
      <c r="F25" s="264" t="s">
        <v>61</v>
      </c>
      <c r="G25" s="264" t="s">
        <v>61</v>
      </c>
      <c r="H25" s="264"/>
      <c r="I25" s="264"/>
      <c r="J25" s="264"/>
      <c r="K25" s="264">
        <v>8</v>
      </c>
      <c r="L25" s="264">
        <v>8</v>
      </c>
      <c r="M25" s="264">
        <v>8</v>
      </c>
      <c r="N25" s="264">
        <v>8</v>
      </c>
      <c r="O25" s="264"/>
      <c r="P25" s="264"/>
      <c r="Q25" s="264">
        <v>8</v>
      </c>
      <c r="R25" s="264"/>
      <c r="S25" s="285">
        <f t="shared" ref="S25" si="5">SUM(C25:R26)</f>
        <v>128</v>
      </c>
      <c r="T25" s="263">
        <v>366</v>
      </c>
      <c r="U25" s="286">
        <v>3</v>
      </c>
      <c r="V25" s="287"/>
      <c r="W25" s="263"/>
      <c r="X25" s="263"/>
      <c r="Y25" s="286"/>
      <c r="Z25" s="287"/>
      <c r="AA25" s="252"/>
    </row>
    <row r="26" ht="16.35" spans="1:27">
      <c r="A26" s="265"/>
      <c r="B26" s="265"/>
      <c r="C26" s="264">
        <v>8</v>
      </c>
      <c r="D26" s="264">
        <v>8</v>
      </c>
      <c r="E26" s="264">
        <v>8</v>
      </c>
      <c r="F26" s="264">
        <v>8</v>
      </c>
      <c r="G26" s="266"/>
      <c r="H26" s="266"/>
      <c r="I26" s="264">
        <v>8</v>
      </c>
      <c r="J26" s="264">
        <v>8</v>
      </c>
      <c r="K26" s="264">
        <v>8</v>
      </c>
      <c r="L26" s="264">
        <v>8</v>
      </c>
      <c r="M26" s="266">
        <v>8</v>
      </c>
      <c r="N26" s="266"/>
      <c r="O26" s="266"/>
      <c r="P26" s="266">
        <v>8</v>
      </c>
      <c r="Q26" s="266">
        <v>8</v>
      </c>
      <c r="R26" s="266"/>
      <c r="S26" s="288"/>
      <c r="T26" s="265"/>
      <c r="U26" s="289"/>
      <c r="V26" s="290"/>
      <c r="W26" s="265"/>
      <c r="X26" s="265"/>
      <c r="Y26" s="289"/>
      <c r="Z26" s="290"/>
      <c r="AA26" s="252"/>
    </row>
    <row r="27" ht="16.35" spans="1:27">
      <c r="A27" s="263">
        <v>9</v>
      </c>
      <c r="B27" s="263" t="s">
        <v>62</v>
      </c>
      <c r="C27" s="264">
        <v>8</v>
      </c>
      <c r="D27" s="264">
        <v>8</v>
      </c>
      <c r="E27" s="264">
        <v>8</v>
      </c>
      <c r="F27" s="264">
        <v>8</v>
      </c>
      <c r="G27" s="264">
        <v>8</v>
      </c>
      <c r="H27" s="264"/>
      <c r="I27" s="264"/>
      <c r="J27" s="264"/>
      <c r="K27" s="264">
        <v>8</v>
      </c>
      <c r="L27" s="264">
        <v>8</v>
      </c>
      <c r="M27" s="264">
        <v>8</v>
      </c>
      <c r="N27" s="264">
        <v>8</v>
      </c>
      <c r="O27" s="264"/>
      <c r="P27" s="264"/>
      <c r="Q27" s="264">
        <v>8</v>
      </c>
      <c r="R27" s="266"/>
      <c r="S27" s="285">
        <f t="shared" ref="S27" si="6">SUM(C27:R28)</f>
        <v>168</v>
      </c>
      <c r="T27" s="263">
        <v>219</v>
      </c>
      <c r="U27" s="286">
        <v>3</v>
      </c>
      <c r="V27" s="287"/>
      <c r="W27" s="263"/>
      <c r="X27" s="263"/>
      <c r="Y27" s="286"/>
      <c r="Z27" s="287"/>
      <c r="AA27" s="252"/>
    </row>
    <row r="28" ht="16.35" spans="1:27">
      <c r="A28" s="265"/>
      <c r="B28" s="265"/>
      <c r="C28" s="264">
        <v>8</v>
      </c>
      <c r="D28" s="264">
        <v>8</v>
      </c>
      <c r="E28" s="264">
        <v>8</v>
      </c>
      <c r="F28" s="264">
        <v>8</v>
      </c>
      <c r="G28" s="266"/>
      <c r="H28" s="266"/>
      <c r="I28" s="264">
        <v>8</v>
      </c>
      <c r="J28" s="264">
        <v>8</v>
      </c>
      <c r="K28" s="264">
        <v>8</v>
      </c>
      <c r="L28" s="264">
        <v>8</v>
      </c>
      <c r="M28" s="266">
        <v>8</v>
      </c>
      <c r="N28" s="266"/>
      <c r="O28" s="266"/>
      <c r="P28" s="266">
        <v>8</v>
      </c>
      <c r="Q28" s="266">
        <v>8</v>
      </c>
      <c r="R28" s="266"/>
      <c r="S28" s="288"/>
      <c r="T28" s="265"/>
      <c r="U28" s="289"/>
      <c r="V28" s="290"/>
      <c r="W28" s="265"/>
      <c r="X28" s="265"/>
      <c r="Y28" s="289"/>
      <c r="Z28" s="290"/>
      <c r="AA28" s="252"/>
    </row>
    <row r="29" ht="16.35" spans="1:27">
      <c r="A29" s="263">
        <v>10</v>
      </c>
      <c r="B29" s="263"/>
      <c r="C29" s="264"/>
      <c r="D29" s="264"/>
      <c r="E29" s="264"/>
      <c r="F29" s="264"/>
      <c r="G29" s="264"/>
      <c r="H29" s="264"/>
      <c r="I29" s="264"/>
      <c r="J29" s="264"/>
      <c r="K29" s="264"/>
      <c r="L29" s="264"/>
      <c r="M29" s="264"/>
      <c r="N29" s="264"/>
      <c r="O29" s="264"/>
      <c r="P29" s="264"/>
      <c r="Q29" s="264"/>
      <c r="R29" s="266"/>
      <c r="S29" s="285">
        <f t="shared" ref="S29" si="7">SUM(C29:R30)</f>
        <v>0</v>
      </c>
      <c r="T29" s="263"/>
      <c r="U29" s="286"/>
      <c r="V29" s="287"/>
      <c r="W29" s="263"/>
      <c r="X29" s="263"/>
      <c r="Y29" s="286"/>
      <c r="Z29" s="287"/>
      <c r="AA29" s="252"/>
    </row>
    <row r="30" ht="16.35" spans="1:27">
      <c r="A30" s="265"/>
      <c r="B30" s="265"/>
      <c r="C30" s="264"/>
      <c r="D30" s="264"/>
      <c r="E30" s="264"/>
      <c r="F30" s="264"/>
      <c r="G30" s="266"/>
      <c r="H30" s="266"/>
      <c r="I30" s="264"/>
      <c r="J30" s="264"/>
      <c r="K30" s="264"/>
      <c r="L30" s="264"/>
      <c r="M30" s="266"/>
      <c r="N30" s="266"/>
      <c r="O30" s="266"/>
      <c r="P30" s="266"/>
      <c r="Q30" s="266"/>
      <c r="R30" s="266"/>
      <c r="S30" s="288"/>
      <c r="T30" s="265"/>
      <c r="U30" s="289"/>
      <c r="V30" s="290"/>
      <c r="W30" s="265"/>
      <c r="X30" s="265"/>
      <c r="Y30" s="289"/>
      <c r="Z30" s="290"/>
      <c r="AA30" s="252"/>
    </row>
    <row r="31" ht="16.35" spans="1:27">
      <c r="A31" s="263">
        <v>11</v>
      </c>
      <c r="B31" s="263"/>
      <c r="C31" s="266"/>
      <c r="D31" s="266"/>
      <c r="E31" s="266"/>
      <c r="F31" s="266"/>
      <c r="G31" s="267"/>
      <c r="H31" s="267"/>
      <c r="I31" s="266"/>
      <c r="J31" s="266"/>
      <c r="K31" s="266"/>
      <c r="L31" s="266"/>
      <c r="M31" s="266"/>
      <c r="N31" s="267"/>
      <c r="O31" s="267"/>
      <c r="P31" s="266"/>
      <c r="Q31" s="266"/>
      <c r="R31" s="266"/>
      <c r="S31" s="285">
        <f t="shared" ref="S31" si="8">SUM(C31:R32)</f>
        <v>0</v>
      </c>
      <c r="T31" s="263"/>
      <c r="U31" s="286"/>
      <c r="V31" s="287"/>
      <c r="W31" s="263"/>
      <c r="X31" s="263"/>
      <c r="Y31" s="286"/>
      <c r="Z31" s="287"/>
      <c r="AA31" s="252"/>
    </row>
    <row r="32" ht="16.35" spans="1:27">
      <c r="A32" s="265"/>
      <c r="B32" s="265"/>
      <c r="C32" s="266"/>
      <c r="D32" s="266"/>
      <c r="E32" s="266"/>
      <c r="F32" s="267"/>
      <c r="G32" s="267"/>
      <c r="H32" s="266"/>
      <c r="I32" s="266"/>
      <c r="J32" s="266"/>
      <c r="K32" s="266"/>
      <c r="L32" s="266"/>
      <c r="M32" s="267"/>
      <c r="N32" s="267"/>
      <c r="O32" s="266"/>
      <c r="P32" s="266"/>
      <c r="Q32" s="266"/>
      <c r="R32" s="266"/>
      <c r="S32" s="288"/>
      <c r="T32" s="265"/>
      <c r="U32" s="289"/>
      <c r="V32" s="290"/>
      <c r="W32" s="265"/>
      <c r="X32" s="265"/>
      <c r="Y32" s="289"/>
      <c r="Z32" s="290"/>
      <c r="AA32" s="252"/>
    </row>
    <row r="33" ht="16.35" spans="1:27">
      <c r="A33" s="263">
        <v>12</v>
      </c>
      <c r="B33" s="263"/>
      <c r="C33" s="266"/>
      <c r="D33" s="266"/>
      <c r="E33" s="266"/>
      <c r="F33" s="266"/>
      <c r="G33" s="267"/>
      <c r="H33" s="267"/>
      <c r="I33" s="266"/>
      <c r="J33" s="266"/>
      <c r="K33" s="266"/>
      <c r="L33" s="266"/>
      <c r="M33" s="266"/>
      <c r="N33" s="267"/>
      <c r="O33" s="267"/>
      <c r="P33" s="266"/>
      <c r="Q33" s="266"/>
      <c r="R33" s="266"/>
      <c r="S33" s="285">
        <f t="shared" ref="S33" si="9">SUM(C33:R34)</f>
        <v>0</v>
      </c>
      <c r="T33" s="263"/>
      <c r="U33" s="286"/>
      <c r="V33" s="287"/>
      <c r="W33" s="263"/>
      <c r="X33" s="263"/>
      <c r="Y33" s="286"/>
      <c r="Z33" s="287"/>
      <c r="AA33" s="252"/>
    </row>
    <row r="34" ht="16.35" spans="1:27">
      <c r="A34" s="265"/>
      <c r="B34" s="265"/>
      <c r="C34" s="266"/>
      <c r="D34" s="266"/>
      <c r="E34" s="266"/>
      <c r="F34" s="267"/>
      <c r="G34" s="267"/>
      <c r="H34" s="266"/>
      <c r="I34" s="266"/>
      <c r="J34" s="266"/>
      <c r="K34" s="266"/>
      <c r="L34" s="266"/>
      <c r="M34" s="267"/>
      <c r="N34" s="267"/>
      <c r="O34" s="266"/>
      <c r="P34" s="266"/>
      <c r="Q34" s="266"/>
      <c r="R34" s="266"/>
      <c r="S34" s="288"/>
      <c r="T34" s="265"/>
      <c r="U34" s="289"/>
      <c r="V34" s="290"/>
      <c r="W34" s="265"/>
      <c r="X34" s="265"/>
      <c r="Y34" s="289"/>
      <c r="Z34" s="290"/>
      <c r="AA34" s="252"/>
    </row>
    <row r="35" ht="16.35" spans="1:27">
      <c r="A35" s="263">
        <v>13</v>
      </c>
      <c r="B35" s="263"/>
      <c r="C35" s="266"/>
      <c r="D35" s="266"/>
      <c r="E35" s="266"/>
      <c r="F35" s="266"/>
      <c r="G35" s="267"/>
      <c r="H35" s="267"/>
      <c r="I35" s="266"/>
      <c r="J35" s="266"/>
      <c r="K35" s="266"/>
      <c r="L35" s="266"/>
      <c r="M35" s="266"/>
      <c r="N35" s="267"/>
      <c r="O35" s="267"/>
      <c r="P35" s="266"/>
      <c r="Q35" s="266"/>
      <c r="R35" s="266"/>
      <c r="S35" s="285">
        <f t="shared" ref="S35" si="10">SUM(C35:R36)</f>
        <v>0</v>
      </c>
      <c r="T35" s="263"/>
      <c r="U35" s="286"/>
      <c r="V35" s="287"/>
      <c r="W35" s="263"/>
      <c r="X35" s="263"/>
      <c r="Y35" s="286"/>
      <c r="Z35" s="287"/>
      <c r="AA35" s="252"/>
    </row>
    <row r="36" ht="16.35" spans="1:27">
      <c r="A36" s="265"/>
      <c r="B36" s="265"/>
      <c r="C36" s="266"/>
      <c r="D36" s="266"/>
      <c r="E36" s="266"/>
      <c r="F36" s="267"/>
      <c r="G36" s="267"/>
      <c r="H36" s="266"/>
      <c r="I36" s="266"/>
      <c r="J36" s="266"/>
      <c r="K36" s="266"/>
      <c r="L36" s="266"/>
      <c r="M36" s="267"/>
      <c r="N36" s="267"/>
      <c r="O36" s="266"/>
      <c r="P36" s="266"/>
      <c r="Q36" s="266"/>
      <c r="R36" s="266"/>
      <c r="S36" s="288"/>
      <c r="T36" s="265"/>
      <c r="U36" s="289"/>
      <c r="V36" s="290"/>
      <c r="W36" s="265"/>
      <c r="X36" s="265"/>
      <c r="Y36" s="289"/>
      <c r="Z36" s="290"/>
      <c r="AA36" s="252"/>
    </row>
    <row r="37" ht="16.35" spans="1:27">
      <c r="A37" s="263">
        <v>14</v>
      </c>
      <c r="B37" s="263"/>
      <c r="C37" s="266"/>
      <c r="D37" s="266"/>
      <c r="E37" s="266"/>
      <c r="F37" s="266"/>
      <c r="G37" s="267"/>
      <c r="H37" s="267"/>
      <c r="I37" s="266"/>
      <c r="J37" s="266"/>
      <c r="K37" s="266"/>
      <c r="L37" s="266"/>
      <c r="M37" s="266"/>
      <c r="N37" s="267"/>
      <c r="O37" s="267"/>
      <c r="P37" s="266"/>
      <c r="Q37" s="266"/>
      <c r="R37" s="266"/>
      <c r="S37" s="285">
        <f t="shared" ref="S37" si="11">SUM(C37:R38)</f>
        <v>0</v>
      </c>
      <c r="T37" s="263"/>
      <c r="U37" s="286"/>
      <c r="V37" s="287"/>
      <c r="W37" s="263"/>
      <c r="X37" s="263"/>
      <c r="Y37" s="286"/>
      <c r="Z37" s="287"/>
      <c r="AA37" s="252"/>
    </row>
    <row r="38" ht="16.35" spans="1:27">
      <c r="A38" s="265"/>
      <c r="B38" s="265"/>
      <c r="C38" s="266"/>
      <c r="D38" s="266"/>
      <c r="E38" s="266"/>
      <c r="F38" s="267"/>
      <c r="G38" s="267"/>
      <c r="H38" s="266"/>
      <c r="I38" s="266"/>
      <c r="J38" s="266"/>
      <c r="K38" s="266"/>
      <c r="L38" s="266"/>
      <c r="M38" s="267"/>
      <c r="N38" s="267"/>
      <c r="O38" s="266"/>
      <c r="P38" s="266"/>
      <c r="Q38" s="266"/>
      <c r="R38" s="266"/>
      <c r="S38" s="288"/>
      <c r="T38" s="265"/>
      <c r="U38" s="289"/>
      <c r="V38" s="290"/>
      <c r="W38" s="265"/>
      <c r="X38" s="265"/>
      <c r="Y38" s="289"/>
      <c r="Z38" s="290"/>
      <c r="AA38" s="252"/>
    </row>
    <row r="39" ht="16.35" spans="1:27">
      <c r="A39" s="263">
        <v>15</v>
      </c>
      <c r="B39" s="263"/>
      <c r="C39" s="266"/>
      <c r="D39" s="266"/>
      <c r="E39" s="266"/>
      <c r="F39" s="266"/>
      <c r="G39" s="267"/>
      <c r="H39" s="267"/>
      <c r="I39" s="266"/>
      <c r="J39" s="266"/>
      <c r="K39" s="266"/>
      <c r="L39" s="266"/>
      <c r="M39" s="266"/>
      <c r="N39" s="267"/>
      <c r="O39" s="267"/>
      <c r="P39" s="266"/>
      <c r="Q39" s="266"/>
      <c r="R39" s="266"/>
      <c r="S39" s="285">
        <f t="shared" ref="S39" si="12">SUM(C39:R40)</f>
        <v>0</v>
      </c>
      <c r="T39" s="263"/>
      <c r="U39" s="286"/>
      <c r="V39" s="287"/>
      <c r="W39" s="263"/>
      <c r="X39" s="263"/>
      <c r="Y39" s="286"/>
      <c r="Z39" s="287"/>
      <c r="AA39" s="252"/>
    </row>
    <row r="40" ht="16.35" spans="1:27">
      <c r="A40" s="265"/>
      <c r="B40" s="265"/>
      <c r="C40" s="266"/>
      <c r="D40" s="266"/>
      <c r="E40" s="266"/>
      <c r="F40" s="268"/>
      <c r="G40" s="268"/>
      <c r="H40" s="266"/>
      <c r="I40" s="266"/>
      <c r="J40" s="266"/>
      <c r="K40" s="266"/>
      <c r="L40" s="266"/>
      <c r="M40" s="268"/>
      <c r="N40" s="268"/>
      <c r="O40" s="266"/>
      <c r="P40" s="266"/>
      <c r="Q40" s="266"/>
      <c r="R40" s="266"/>
      <c r="S40" s="288"/>
      <c r="T40" s="265"/>
      <c r="U40" s="289"/>
      <c r="V40" s="290"/>
      <c r="W40" s="265"/>
      <c r="X40" s="265"/>
      <c r="Y40" s="289"/>
      <c r="Z40" s="290"/>
      <c r="AA40" s="252"/>
    </row>
    <row r="41" ht="16.35" spans="1:27">
      <c r="A41" s="269"/>
      <c r="B41" s="269"/>
      <c r="C41" s="270">
        <f>SUM(C23,C25,C27,C29,C31,C33,C35,C37,C39,C21,C19,C17,C15,C13,C11)</f>
        <v>64</v>
      </c>
      <c r="D41" s="270">
        <f t="shared" ref="D41:R41" si="13">SUM(D23,D25,D27,D29,D31,D33,D35,D37,D39,D21,D19,D17,D15,D13,D11)</f>
        <v>64</v>
      </c>
      <c r="E41" s="270">
        <f t="shared" si="13"/>
        <v>64</v>
      </c>
      <c r="F41" s="270">
        <f t="shared" si="13"/>
        <v>64</v>
      </c>
      <c r="G41" s="271">
        <f t="shared" si="13"/>
        <v>64</v>
      </c>
      <c r="H41" s="271">
        <f t="shared" si="13"/>
        <v>0</v>
      </c>
      <c r="I41" s="270">
        <f t="shared" si="13"/>
        <v>0</v>
      </c>
      <c r="J41" s="270">
        <f t="shared" si="13"/>
        <v>0</v>
      </c>
      <c r="K41" s="270">
        <f t="shared" si="13"/>
        <v>72</v>
      </c>
      <c r="L41" s="270">
        <f t="shared" si="13"/>
        <v>72</v>
      </c>
      <c r="M41" s="270">
        <f t="shared" si="13"/>
        <v>72</v>
      </c>
      <c r="N41" s="271">
        <f t="shared" si="13"/>
        <v>72</v>
      </c>
      <c r="O41" s="271">
        <f t="shared" si="13"/>
        <v>0</v>
      </c>
      <c r="P41" s="270">
        <f t="shared" si="13"/>
        <v>0</v>
      </c>
      <c r="Q41" s="270">
        <f t="shared" si="13"/>
        <v>72</v>
      </c>
      <c r="R41" s="270">
        <f t="shared" si="13"/>
        <v>0</v>
      </c>
      <c r="S41" s="291">
        <f>SUM(C41:R41)</f>
        <v>680</v>
      </c>
      <c r="T41" s="269"/>
      <c r="U41" s="269"/>
      <c r="V41" s="269"/>
      <c r="W41" s="269"/>
      <c r="X41" s="269"/>
      <c r="Y41" s="269"/>
      <c r="Z41" s="269"/>
      <c r="AA41" s="252"/>
    </row>
    <row r="42" ht="16.35" spans="1:27">
      <c r="A42" s="269"/>
      <c r="B42" s="269"/>
      <c r="C42" s="270">
        <f>SUM(C24,C26,C28,C30,C32,C34,C36,C38,C40,C22,C20,C18,C16,C14,C12)</f>
        <v>64</v>
      </c>
      <c r="D42" s="270">
        <f t="shared" ref="D42:R42" si="14">SUM(D24,D26,D28,D30,D32,D34,D36,D38,D40,D22,D20,D18,D16,D14,D12)</f>
        <v>64</v>
      </c>
      <c r="E42" s="270">
        <f t="shared" si="14"/>
        <v>64</v>
      </c>
      <c r="F42" s="272">
        <f t="shared" si="14"/>
        <v>64</v>
      </c>
      <c r="G42" s="272">
        <f t="shared" si="14"/>
        <v>0</v>
      </c>
      <c r="H42" s="270">
        <f t="shared" si="14"/>
        <v>0</v>
      </c>
      <c r="I42" s="270">
        <f t="shared" si="14"/>
        <v>64</v>
      </c>
      <c r="J42" s="270">
        <f t="shared" si="14"/>
        <v>64</v>
      </c>
      <c r="K42" s="270">
        <f t="shared" si="14"/>
        <v>64</v>
      </c>
      <c r="L42" s="270">
        <f t="shared" si="14"/>
        <v>64</v>
      </c>
      <c r="M42" s="272">
        <f t="shared" si="14"/>
        <v>64</v>
      </c>
      <c r="N42" s="272">
        <f t="shared" si="14"/>
        <v>0</v>
      </c>
      <c r="O42" s="270">
        <f t="shared" si="14"/>
        <v>0</v>
      </c>
      <c r="P42" s="270">
        <f t="shared" si="14"/>
        <v>64</v>
      </c>
      <c r="Q42" s="270">
        <f t="shared" si="14"/>
        <v>64</v>
      </c>
      <c r="R42" s="270">
        <f t="shared" si="14"/>
        <v>0</v>
      </c>
      <c r="S42" s="291">
        <f>SUM(C42:R42)</f>
        <v>704</v>
      </c>
      <c r="T42" s="269"/>
      <c r="U42" s="269"/>
      <c r="V42" s="269"/>
      <c r="W42" s="269"/>
      <c r="X42" s="269"/>
      <c r="Y42" s="269"/>
      <c r="Z42" s="269"/>
      <c r="AA42" s="252"/>
    </row>
    <row r="43" ht="15.6" spans="1:27">
      <c r="A43" s="269"/>
      <c r="B43" s="269"/>
      <c r="C43" s="252"/>
      <c r="D43" s="252"/>
      <c r="E43" s="252"/>
      <c r="F43" s="252"/>
      <c r="G43" s="252"/>
      <c r="H43" s="252"/>
      <c r="I43" s="252"/>
      <c r="J43" s="252"/>
      <c r="K43" s="252"/>
      <c r="L43" s="252"/>
      <c r="M43" s="252"/>
      <c r="N43" s="252"/>
      <c r="O43" s="252"/>
      <c r="P43" s="252"/>
      <c r="Q43" s="252"/>
      <c r="R43" s="252"/>
      <c r="S43" s="292">
        <f>SUM(S11:S40)</f>
        <v>1384</v>
      </c>
      <c r="T43" s="269"/>
      <c r="U43" s="269"/>
      <c r="V43" s="269"/>
      <c r="W43" s="269"/>
      <c r="X43" s="269"/>
      <c r="Y43" s="269"/>
      <c r="Z43" s="269"/>
      <c r="AA43" s="252"/>
    </row>
    <row r="44" ht="21.75" customHeight="1" spans="1:27">
      <c r="A44" s="252"/>
      <c r="B44" s="273" t="s">
        <v>63</v>
      </c>
      <c r="C44" s="273"/>
      <c r="D44" s="273"/>
      <c r="E44" s="273"/>
      <c r="F44" s="273"/>
      <c r="G44" s="273"/>
      <c r="H44" s="273"/>
      <c r="I44" s="273"/>
      <c r="J44" s="273"/>
      <c r="K44" s="273"/>
      <c r="L44" s="273"/>
      <c r="M44" s="273"/>
      <c r="N44" s="252"/>
      <c r="O44" s="252"/>
      <c r="P44" s="252"/>
      <c r="Q44" s="277" t="s">
        <v>64</v>
      </c>
      <c r="R44" s="277"/>
      <c r="S44" s="293"/>
      <c r="T44" s="252"/>
      <c r="U44" s="252"/>
      <c r="V44" s="252"/>
      <c r="W44" s="252"/>
      <c r="X44" s="252"/>
      <c r="Y44" s="252"/>
      <c r="Z44" s="252"/>
      <c r="AA44" s="252"/>
    </row>
    <row r="45" ht="23.25" customHeight="1" spans="1:27">
      <c r="A45" s="252"/>
      <c r="B45" s="274" t="s">
        <v>65</v>
      </c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52"/>
      <c r="O45" s="252"/>
      <c r="P45" s="252"/>
      <c r="Q45" s="252"/>
      <c r="R45" s="252"/>
      <c r="S45" s="294" t="s">
        <v>66</v>
      </c>
      <c r="T45" s="294"/>
      <c r="U45" s="294"/>
      <c r="V45" s="294"/>
      <c r="W45" s="294"/>
      <c r="X45" s="294"/>
      <c r="Y45" s="294"/>
      <c r="Z45" s="294"/>
      <c r="AA45" s="252"/>
    </row>
    <row r="46" ht="17.25" customHeight="1" spans="1:27">
      <c r="A46" s="252"/>
      <c r="B46" s="275" t="s">
        <v>67</v>
      </c>
      <c r="C46" s="275"/>
      <c r="D46" s="275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76" t="s">
        <v>16</v>
      </c>
      <c r="Y46" s="252"/>
      <c r="Z46" s="252"/>
      <c r="AA46" s="252"/>
    </row>
    <row r="47" ht="18" customHeight="1" spans="1:27">
      <c r="A47" s="252"/>
      <c r="B47" s="276" t="s">
        <v>16</v>
      </c>
      <c r="C47" s="276"/>
      <c r="D47" s="276"/>
      <c r="E47" s="252"/>
      <c r="F47" s="252"/>
      <c r="G47" s="252"/>
      <c r="H47" s="252"/>
      <c r="I47" s="252"/>
      <c r="J47" s="252"/>
      <c r="K47" s="252"/>
      <c r="L47" s="252"/>
      <c r="M47" s="252"/>
      <c r="N47" s="252"/>
      <c r="O47" s="252"/>
      <c r="P47" s="252"/>
      <c r="Q47" s="252"/>
      <c r="R47" s="252"/>
      <c r="S47" s="294" t="s">
        <v>68</v>
      </c>
      <c r="T47" s="294"/>
      <c r="U47" s="294"/>
      <c r="V47" s="294"/>
      <c r="W47" s="294"/>
      <c r="X47" s="294"/>
      <c r="Y47" s="294"/>
      <c r="Z47" s="294"/>
      <c r="AA47" s="252"/>
    </row>
    <row r="48" ht="18.75" customHeight="1" spans="1:27">
      <c r="A48" s="252"/>
      <c r="B48" s="275" t="s">
        <v>69</v>
      </c>
      <c r="C48" s="275"/>
      <c r="D48" s="275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95"/>
      <c r="Y48" s="298" t="s">
        <v>16</v>
      </c>
      <c r="Z48" s="252"/>
      <c r="AA48" s="252"/>
    </row>
    <row r="49" ht="10.5" customHeight="1" spans="1:27">
      <c r="A49" s="252"/>
      <c r="B49" s="254" t="s">
        <v>16</v>
      </c>
      <c r="C49" s="254"/>
      <c r="D49" s="254"/>
      <c r="E49" s="252"/>
      <c r="F49" s="252"/>
      <c r="G49" s="252"/>
      <c r="H49" s="252"/>
      <c r="I49" s="252"/>
      <c r="J49" s="252"/>
      <c r="K49" s="252"/>
      <c r="L49" s="252"/>
      <c r="M49" s="252"/>
      <c r="N49" s="252"/>
      <c r="O49" s="252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</row>
    <row r="50" ht="15.6" spans="1:27">
      <c r="A50" s="252"/>
      <c r="B50" s="252"/>
      <c r="C50" s="277">
        <v>2</v>
      </c>
      <c r="D50" s="277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77"/>
      <c r="P50" s="277"/>
      <c r="Q50" s="252"/>
      <c r="R50" s="252"/>
      <c r="S50" s="277">
        <v>3</v>
      </c>
      <c r="T50" s="277"/>
      <c r="U50" s="252"/>
      <c r="V50" s="252"/>
      <c r="W50" s="269"/>
      <c r="X50" s="269"/>
      <c r="Y50" s="252"/>
      <c r="Z50" s="252"/>
      <c r="AA50" s="252"/>
    </row>
    <row r="51" ht="15.6" spans="1:27">
      <c r="A51" s="252"/>
      <c r="B51" s="252"/>
      <c r="C51" s="252"/>
      <c r="D51" s="252"/>
      <c r="E51" s="252"/>
      <c r="F51" s="252"/>
      <c r="G51" s="252"/>
      <c r="H51" s="252"/>
      <c r="I51" s="252"/>
      <c r="J51" s="252"/>
      <c r="K51" s="252"/>
      <c r="L51" s="252"/>
      <c r="M51" s="252"/>
      <c r="N51" s="252"/>
      <c r="O51" s="252"/>
      <c r="P51" s="252"/>
      <c r="Q51" s="252"/>
      <c r="R51" s="252"/>
      <c r="S51" s="252"/>
      <c r="T51" s="252"/>
      <c r="U51" s="252"/>
      <c r="V51" s="252"/>
      <c r="W51" s="252"/>
      <c r="X51" s="252"/>
      <c r="Y51" s="252"/>
      <c r="Z51" s="252"/>
      <c r="AA51" s="252"/>
    </row>
    <row r="52" ht="15.6" spans="1:27">
      <c r="A52" s="252"/>
      <c r="B52" s="252"/>
      <c r="C52" s="269"/>
      <c r="D52" s="269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77"/>
      <c r="P52" s="277"/>
      <c r="Q52" s="252"/>
      <c r="R52" s="252"/>
      <c r="S52" s="252"/>
      <c r="T52" s="252"/>
      <c r="U52" s="252"/>
      <c r="V52" s="252"/>
      <c r="W52" s="269"/>
      <c r="X52" s="269"/>
      <c r="Y52" s="252"/>
      <c r="Z52" s="252"/>
      <c r="AA52" s="252"/>
    </row>
    <row r="53" ht="15.6" spans="1:27">
      <c r="A53" s="252"/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</row>
  </sheetData>
  <sheetProtection algorithmName="SHA-512" hashValue="iFISbLJgTUlm7Ro8c1eZ0V3R3zk43DGDje4CtEhhcmpm5UMheJJZ2s4SakHWL8MoIfUgPky17F1114VyjE69Tw==" saltValue="lgYJU3fHJW5LsND4Jb155A==" spinCount="100000" sheet="1" objects="1" scenarios="1"/>
  <protectedRanges>
    <protectedRange algorithmName="SHA-512" hashValue="qQty6BUsqTfcisqH/nZfGA92KsCDUQTBOh2y4eJ3LevUlmJ7vWLwCO7rFJIKBueFy27bSDwSuvr60MPC1kuNBA==" saltValue="bmu9TLvM3N/mCkg5Kyt7wQ==" spinCount="100000" sqref="S11:S44" name="Диапазон1"/>
  </protectedRanges>
  <mergeCells count="200">
    <mergeCell ref="T1:W1"/>
    <mergeCell ref="U2:W2"/>
    <mergeCell ref="A4:M4"/>
    <mergeCell ref="C6:M6"/>
    <mergeCell ref="N6:Q6"/>
    <mergeCell ref="X6:Z6"/>
    <mergeCell ref="Y7:Z7"/>
    <mergeCell ref="Y8:Z8"/>
    <mergeCell ref="Y9:Z9"/>
    <mergeCell ref="Y10:Z10"/>
    <mergeCell ref="B44:M44"/>
    <mergeCell ref="Q44:R44"/>
    <mergeCell ref="B45:M45"/>
    <mergeCell ref="S45:Z45"/>
    <mergeCell ref="B46:D46"/>
    <mergeCell ref="B47:D47"/>
    <mergeCell ref="S47:Z47"/>
    <mergeCell ref="B48:D48"/>
    <mergeCell ref="B49:D49"/>
    <mergeCell ref="C50:D50"/>
    <mergeCell ref="O50:P50"/>
    <mergeCell ref="S50:T50"/>
    <mergeCell ref="W50:X50"/>
    <mergeCell ref="C52:D52"/>
    <mergeCell ref="O52:P52"/>
    <mergeCell ref="W52:X52"/>
    <mergeCell ref="A6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B6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C7:C8"/>
    <mergeCell ref="C9:C10"/>
    <mergeCell ref="D7:D8"/>
    <mergeCell ref="D9:D10"/>
    <mergeCell ref="E7:E8"/>
    <mergeCell ref="E9:E10"/>
    <mergeCell ref="F7:F8"/>
    <mergeCell ref="F9:F10"/>
    <mergeCell ref="G7:G8"/>
    <mergeCell ref="G9:G10"/>
    <mergeCell ref="H7:H8"/>
    <mergeCell ref="H9:H10"/>
    <mergeCell ref="I7:I8"/>
    <mergeCell ref="I9:I10"/>
    <mergeCell ref="J7:J8"/>
    <mergeCell ref="J9:J10"/>
    <mergeCell ref="K7:K8"/>
    <mergeCell ref="K9:K10"/>
    <mergeCell ref="L7:L8"/>
    <mergeCell ref="L9:L10"/>
    <mergeCell ref="M7:M8"/>
    <mergeCell ref="M9:M10"/>
    <mergeCell ref="N7:N8"/>
    <mergeCell ref="N9:N10"/>
    <mergeCell ref="O7:O8"/>
    <mergeCell ref="O9:O10"/>
    <mergeCell ref="P7:P8"/>
    <mergeCell ref="P9:P10"/>
    <mergeCell ref="Q7:Q8"/>
    <mergeCell ref="Q9:Q10"/>
    <mergeCell ref="R2:R3"/>
    <mergeCell ref="R7:R8"/>
    <mergeCell ref="R9:R10"/>
    <mergeCell ref="S1:S3"/>
    <mergeCell ref="S6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3:S44"/>
    <mergeCell ref="T2:T3"/>
    <mergeCell ref="T6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W6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X1:X3"/>
    <mergeCell ref="X11:X12"/>
    <mergeCell ref="X13:X14"/>
    <mergeCell ref="X15:X16"/>
    <mergeCell ref="X17:X18"/>
    <mergeCell ref="X19:X20"/>
    <mergeCell ref="X21:X22"/>
    <mergeCell ref="X23:X24"/>
    <mergeCell ref="X25:X26"/>
    <mergeCell ref="X27:X28"/>
    <mergeCell ref="X29:X30"/>
    <mergeCell ref="X31:X32"/>
    <mergeCell ref="X33:X34"/>
    <mergeCell ref="X35:X36"/>
    <mergeCell ref="X37:X38"/>
    <mergeCell ref="X39:X40"/>
    <mergeCell ref="X41:X42"/>
    <mergeCell ref="Y1:Y3"/>
    <mergeCell ref="Y41:Y42"/>
    <mergeCell ref="Z1:Z3"/>
    <mergeCell ref="Z41:Z42"/>
    <mergeCell ref="U19:V20"/>
    <mergeCell ref="Y19:Z20"/>
    <mergeCell ref="U15:V16"/>
    <mergeCell ref="Y15:Z16"/>
    <mergeCell ref="U13:V14"/>
    <mergeCell ref="Y13:Z14"/>
    <mergeCell ref="U11:V12"/>
    <mergeCell ref="Y11:Z12"/>
    <mergeCell ref="U17:V18"/>
    <mergeCell ref="Y17:Z18"/>
    <mergeCell ref="U21:V22"/>
    <mergeCell ref="Y21:Z22"/>
    <mergeCell ref="U23:V24"/>
    <mergeCell ref="Y23:Z24"/>
    <mergeCell ref="U25:V26"/>
    <mergeCell ref="Y25:Z26"/>
    <mergeCell ref="U27:V28"/>
    <mergeCell ref="Y27:Z28"/>
    <mergeCell ref="U29:V30"/>
    <mergeCell ref="Y29:Z30"/>
    <mergeCell ref="U31:V32"/>
    <mergeCell ref="Y31:Z32"/>
    <mergeCell ref="U33:V34"/>
    <mergeCell ref="Y33:Z34"/>
    <mergeCell ref="U35:V36"/>
    <mergeCell ref="Y35:Z36"/>
    <mergeCell ref="U37:V38"/>
    <mergeCell ref="Y37:Z38"/>
    <mergeCell ref="U39:V40"/>
    <mergeCell ref="Y39:Z40"/>
    <mergeCell ref="U41:V42"/>
    <mergeCell ref="U6:V10"/>
  </mergeCells>
  <pageMargins left="0.47244094488189" right="0.433070866141732" top="0.15748031496063" bottom="0.118110236220472" header="0.15748031496063" footer="0.118110236220472"/>
  <pageSetup paperSize="9" scale="9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3"/>
  <dimension ref="A1:AD44"/>
  <sheetViews>
    <sheetView zoomScale="93" zoomScaleNormal="93" workbookViewId="0">
      <pane xSplit="1" ySplit="4" topLeftCell="B28" activePane="bottomRight" state="frozen"/>
      <selection/>
      <selection pane="topRight"/>
      <selection pane="bottomLeft"/>
      <selection pane="bottomRight" activeCell="J34" sqref="J34:J35"/>
    </sheetView>
  </sheetViews>
  <sheetFormatPr defaultColWidth="9" defaultRowHeight="14.4"/>
  <cols>
    <col min="1" max="1" width="4.42592592592593" style="198" customWidth="1"/>
    <col min="2" max="2" width="21.1388888888889" style="198" customWidth="1"/>
    <col min="3" max="3" width="32.4259259259259" style="198" customWidth="1"/>
    <col min="4" max="4" width="5.13888888888889" style="198" customWidth="1"/>
    <col min="5" max="5" width="6.13888888888889" style="198" customWidth="1"/>
    <col min="6" max="6" width="4.42592592592593" style="198" customWidth="1"/>
    <col min="7" max="7" width="5.57407407407407" style="198" customWidth="1"/>
    <col min="8" max="8" width="5.13888888888889" style="198" customWidth="1"/>
    <col min="9" max="9" width="6" style="198" customWidth="1"/>
    <col min="10" max="10" width="6.42592592592593" style="198" customWidth="1"/>
    <col min="11" max="26" width="4.13888888888889" style="198" customWidth="1"/>
    <col min="27" max="27" width="6.42592592592593" style="198" customWidth="1"/>
    <col min="28" max="28" width="7.13888888888889" style="198" customWidth="1"/>
    <col min="29" max="29" width="7.57407407407407" style="198" customWidth="1"/>
    <col min="30" max="30" width="6.13888888888889" style="198" customWidth="1"/>
    <col min="31" max="16384" width="9.13888888888889" style="198"/>
  </cols>
  <sheetData>
    <row r="1" ht="17.25" customHeight="1" spans="1:30">
      <c r="A1" s="108"/>
      <c r="B1" s="108"/>
      <c r="C1" s="179" t="s">
        <v>70</v>
      </c>
      <c r="D1" s="179"/>
      <c r="E1" s="179"/>
      <c r="F1" s="179"/>
      <c r="G1" s="179"/>
      <c r="H1" s="108"/>
      <c r="I1" s="108"/>
      <c r="J1" s="108"/>
      <c r="K1" s="203" t="s">
        <v>71</v>
      </c>
      <c r="L1" s="204"/>
      <c r="M1" s="204"/>
      <c r="N1" s="204"/>
      <c r="O1" s="204"/>
      <c r="P1" s="204"/>
      <c r="Q1" s="204"/>
      <c r="R1" s="204"/>
      <c r="S1" s="204"/>
      <c r="T1" s="204" t="s">
        <v>72</v>
      </c>
      <c r="U1" s="204"/>
      <c r="V1" s="204"/>
      <c r="W1" s="204"/>
      <c r="X1" s="204"/>
      <c r="Y1" s="204"/>
      <c r="Z1" s="226"/>
      <c r="AA1" s="227" t="s">
        <v>73</v>
      </c>
      <c r="AB1" s="228"/>
      <c r="AC1" s="229"/>
      <c r="AD1" s="229"/>
    </row>
    <row r="2" ht="33" customHeight="1" spans="1:30">
      <c r="A2" s="180" t="s">
        <v>74</v>
      </c>
      <c r="B2" s="181" t="s">
        <v>75</v>
      </c>
      <c r="C2" s="181" t="s">
        <v>76</v>
      </c>
      <c r="D2" s="182" t="s">
        <v>77</v>
      </c>
      <c r="E2" s="183"/>
      <c r="F2" s="182" t="s">
        <v>78</v>
      </c>
      <c r="G2" s="183"/>
      <c r="H2" s="180" t="s">
        <v>79</v>
      </c>
      <c r="I2" s="205" t="s">
        <v>80</v>
      </c>
      <c r="J2" s="206"/>
      <c r="K2" s="207" t="s">
        <v>81</v>
      </c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30"/>
      <c r="AA2" s="231" t="s">
        <v>82</v>
      </c>
      <c r="AB2" s="231" t="s">
        <v>83</v>
      </c>
      <c r="AC2" s="231" t="s">
        <v>84</v>
      </c>
      <c r="AD2" s="232" t="s">
        <v>85</v>
      </c>
    </row>
    <row r="3" ht="48.75" customHeight="1" spans="1:30">
      <c r="A3" s="184"/>
      <c r="B3" s="185"/>
      <c r="C3" s="185"/>
      <c r="D3" s="186"/>
      <c r="E3" s="187"/>
      <c r="F3" s="186"/>
      <c r="G3" s="187"/>
      <c r="H3" s="184"/>
      <c r="I3" s="180" t="s">
        <v>86</v>
      </c>
      <c r="J3" s="180" t="s">
        <v>87</v>
      </c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33"/>
      <c r="AA3" s="234"/>
      <c r="AB3" s="234"/>
      <c r="AC3" s="234"/>
      <c r="AD3" s="235"/>
    </row>
    <row r="4" ht="21.75" customHeight="1" spans="1:30">
      <c r="A4" s="188"/>
      <c r="B4" s="189"/>
      <c r="C4" s="189"/>
      <c r="D4" s="190"/>
      <c r="E4" s="191"/>
      <c r="F4" s="190"/>
      <c r="G4" s="191"/>
      <c r="H4" s="188"/>
      <c r="I4" s="188"/>
      <c r="J4" s="188"/>
      <c r="K4" s="211">
        <v>1</v>
      </c>
      <c r="L4" s="211">
        <v>2</v>
      </c>
      <c r="M4" s="211">
        <v>3</v>
      </c>
      <c r="N4" s="211">
        <v>4</v>
      </c>
      <c r="O4" s="211">
        <v>5</v>
      </c>
      <c r="P4" s="212">
        <v>6</v>
      </c>
      <c r="Q4" s="212">
        <v>7</v>
      </c>
      <c r="R4" s="212">
        <v>8</v>
      </c>
      <c r="S4" s="211">
        <v>9</v>
      </c>
      <c r="T4" s="211">
        <v>10</v>
      </c>
      <c r="U4" s="211">
        <v>11</v>
      </c>
      <c r="V4" s="211">
        <v>12</v>
      </c>
      <c r="W4" s="212">
        <v>13</v>
      </c>
      <c r="X4" s="212">
        <v>14</v>
      </c>
      <c r="Y4" s="211">
        <v>15</v>
      </c>
      <c r="Z4" s="236"/>
      <c r="AA4" s="236"/>
      <c r="AB4" s="236"/>
      <c r="AC4" s="236"/>
      <c r="AD4" s="236"/>
    </row>
    <row r="5" ht="21" customHeight="1" spans="1:30">
      <c r="A5" s="124">
        <v>1</v>
      </c>
      <c r="B5" s="124"/>
      <c r="C5" s="124" t="s">
        <v>88</v>
      </c>
      <c r="D5" s="124">
        <v>10</v>
      </c>
      <c r="E5" s="124" t="s">
        <v>89</v>
      </c>
      <c r="F5" s="124" t="s">
        <v>90</v>
      </c>
      <c r="G5" s="192">
        <v>1.55</v>
      </c>
      <c r="H5" s="124">
        <v>4</v>
      </c>
      <c r="I5" s="213">
        <f>+J5*D5/G5</f>
        <v>0</v>
      </c>
      <c r="J5" s="124"/>
      <c r="K5" s="214"/>
      <c r="L5" s="214"/>
      <c r="M5" s="214"/>
      <c r="N5" s="214"/>
      <c r="O5" s="215"/>
      <c r="P5" s="214"/>
      <c r="Q5" s="214"/>
      <c r="R5" s="214"/>
      <c r="S5" s="214"/>
      <c r="T5" s="214"/>
      <c r="U5" s="214"/>
      <c r="V5" s="215"/>
      <c r="W5" s="215"/>
      <c r="X5" s="214"/>
      <c r="Y5" s="214"/>
      <c r="Z5" s="248"/>
      <c r="AA5" s="237">
        <f>SUM(K5:Z5)</f>
        <v>0</v>
      </c>
      <c r="AB5" s="237">
        <f>SUM(K5:Z5)</f>
        <v>0</v>
      </c>
      <c r="AC5" s="237">
        <f>SUM(K6:Z6)</f>
        <v>0</v>
      </c>
      <c r="AD5" s="124"/>
    </row>
    <row r="6" ht="21" customHeight="1" spans="1:30">
      <c r="A6" s="127"/>
      <c r="B6" s="127"/>
      <c r="C6" s="127"/>
      <c r="D6" s="127"/>
      <c r="E6" s="127"/>
      <c r="F6" s="127"/>
      <c r="G6" s="193"/>
      <c r="H6" s="127"/>
      <c r="I6" s="216"/>
      <c r="J6" s="127"/>
      <c r="K6" s="218">
        <f>+K5/$G5*$D5</f>
        <v>0</v>
      </c>
      <c r="L6" s="218">
        <f t="shared" ref="L6:O6" si="0">+L5/$G5*$D5</f>
        <v>0</v>
      </c>
      <c r="M6" s="218">
        <f t="shared" si="0"/>
        <v>0</v>
      </c>
      <c r="N6" s="218">
        <f t="shared" si="0"/>
        <v>0</v>
      </c>
      <c r="O6" s="218">
        <f t="shared" si="0"/>
        <v>0</v>
      </c>
      <c r="P6" s="218">
        <f t="shared" ref="P6:Z6" si="1">+P5/$G5*$D5</f>
        <v>0</v>
      </c>
      <c r="Q6" s="218">
        <f t="shared" si="1"/>
        <v>0</v>
      </c>
      <c r="R6" s="218">
        <f t="shared" si="1"/>
        <v>0</v>
      </c>
      <c r="S6" s="218">
        <f t="shared" si="1"/>
        <v>0</v>
      </c>
      <c r="T6" s="218">
        <f t="shared" si="1"/>
        <v>0</v>
      </c>
      <c r="U6" s="218">
        <f t="shared" si="1"/>
        <v>0</v>
      </c>
      <c r="V6" s="218">
        <f t="shared" si="1"/>
        <v>0</v>
      </c>
      <c r="W6" s="218">
        <f t="shared" si="1"/>
        <v>0</v>
      </c>
      <c r="X6" s="218">
        <f t="shared" si="1"/>
        <v>0</v>
      </c>
      <c r="Y6" s="218">
        <f t="shared" si="1"/>
        <v>0</v>
      </c>
      <c r="Z6" s="218">
        <f t="shared" si="1"/>
        <v>0</v>
      </c>
      <c r="AA6" s="238"/>
      <c r="AB6" s="239"/>
      <c r="AC6" s="238"/>
      <c r="AD6" s="127"/>
    </row>
    <row r="7" ht="21" customHeight="1" spans="1:30">
      <c r="A7" s="124">
        <v>2</v>
      </c>
      <c r="B7" s="124" t="s">
        <v>91</v>
      </c>
      <c r="C7" s="124" t="s">
        <v>92</v>
      </c>
      <c r="D7" s="124">
        <v>10</v>
      </c>
      <c r="E7" s="124" t="s">
        <v>93</v>
      </c>
      <c r="F7" s="124" t="s">
        <v>94</v>
      </c>
      <c r="G7" s="192">
        <v>0.948</v>
      </c>
      <c r="H7" s="124">
        <v>4</v>
      </c>
      <c r="I7" s="213">
        <f t="shared" ref="I7" si="2">+J7*D7/G7</f>
        <v>4113.92405063291</v>
      </c>
      <c r="J7" s="124">
        <v>390</v>
      </c>
      <c r="K7" s="214">
        <v>36</v>
      </c>
      <c r="L7" s="214">
        <v>36</v>
      </c>
      <c r="M7" s="214">
        <v>36</v>
      </c>
      <c r="N7" s="214">
        <v>36</v>
      </c>
      <c r="O7" s="215">
        <v>36</v>
      </c>
      <c r="P7" s="214"/>
      <c r="Q7" s="214"/>
      <c r="R7" s="214"/>
      <c r="S7" s="214">
        <v>44</v>
      </c>
      <c r="T7" s="214">
        <v>28</v>
      </c>
      <c r="U7" s="214">
        <v>44</v>
      </c>
      <c r="V7" s="215">
        <v>44</v>
      </c>
      <c r="W7" s="215"/>
      <c r="X7" s="214"/>
      <c r="Y7" s="214">
        <v>44</v>
      </c>
      <c r="Z7" s="248"/>
      <c r="AA7" s="237">
        <f t="shared" ref="AA7" si="3">SUM(K7:Z7)</f>
        <v>384</v>
      </c>
      <c r="AB7" s="237">
        <f t="shared" ref="AB7" si="4">SUM(K7:Z7)</f>
        <v>384</v>
      </c>
      <c r="AC7" s="237">
        <f t="shared" ref="AC7" si="5">SUM(K8:Z8)</f>
        <v>4050.6329113924</v>
      </c>
      <c r="AD7" s="124"/>
    </row>
    <row r="8" ht="21" customHeight="1" spans="1:30">
      <c r="A8" s="127"/>
      <c r="B8" s="127"/>
      <c r="C8" s="127"/>
      <c r="D8" s="127"/>
      <c r="E8" s="127"/>
      <c r="F8" s="127"/>
      <c r="G8" s="193"/>
      <c r="H8" s="127"/>
      <c r="I8" s="216"/>
      <c r="J8" s="127"/>
      <c r="K8" s="218">
        <f>+K7/$G7*$D7</f>
        <v>379.746835443038</v>
      </c>
      <c r="L8" s="218">
        <f t="shared" ref="L8:O8" si="6">+L7/$G7*$D7</f>
        <v>379.746835443038</v>
      </c>
      <c r="M8" s="218">
        <f t="shared" si="6"/>
        <v>379.746835443038</v>
      </c>
      <c r="N8" s="218">
        <f t="shared" si="6"/>
        <v>379.746835443038</v>
      </c>
      <c r="O8" s="218">
        <f t="shared" si="6"/>
        <v>379.746835443038</v>
      </c>
      <c r="P8" s="218">
        <f t="shared" ref="P8:Y8" si="7">+P7/$G7*$D7</f>
        <v>0</v>
      </c>
      <c r="Q8" s="218">
        <f t="shared" si="7"/>
        <v>0</v>
      </c>
      <c r="R8" s="218">
        <f t="shared" si="7"/>
        <v>0</v>
      </c>
      <c r="S8" s="218">
        <f t="shared" si="7"/>
        <v>464.135021097046</v>
      </c>
      <c r="T8" s="218">
        <f t="shared" si="7"/>
        <v>295.35864978903</v>
      </c>
      <c r="U8" s="218">
        <f t="shared" si="7"/>
        <v>464.135021097046</v>
      </c>
      <c r="V8" s="218">
        <f t="shared" si="7"/>
        <v>464.135021097046</v>
      </c>
      <c r="W8" s="218">
        <f t="shared" si="7"/>
        <v>0</v>
      </c>
      <c r="X8" s="218">
        <f t="shared" si="7"/>
        <v>0</v>
      </c>
      <c r="Y8" s="218">
        <f t="shared" si="7"/>
        <v>464.135021097046</v>
      </c>
      <c r="Z8" s="218">
        <f t="shared" ref="Z8" si="8">+Z7/$G7*$D7</f>
        <v>0</v>
      </c>
      <c r="AA8" s="238"/>
      <c r="AB8" s="239"/>
      <c r="AC8" s="238"/>
      <c r="AD8" s="127"/>
    </row>
    <row r="9" ht="21" customHeight="1" spans="1:30">
      <c r="A9" s="124">
        <v>3</v>
      </c>
      <c r="B9" s="124" t="s">
        <v>91</v>
      </c>
      <c r="C9" s="124" t="s">
        <v>95</v>
      </c>
      <c r="D9" s="124">
        <v>10</v>
      </c>
      <c r="E9" s="124" t="s">
        <v>96</v>
      </c>
      <c r="F9" s="124" t="s">
        <v>97</v>
      </c>
      <c r="G9" s="192">
        <v>0.558</v>
      </c>
      <c r="H9" s="124">
        <v>4</v>
      </c>
      <c r="I9" s="213">
        <f t="shared" ref="I9:I31" si="9">+J9*D9/G9</f>
        <v>1971.32616487455</v>
      </c>
      <c r="J9" s="124">
        <v>110</v>
      </c>
      <c r="K9" s="214">
        <v>10</v>
      </c>
      <c r="L9" s="214">
        <v>10</v>
      </c>
      <c r="M9" s="214">
        <v>10</v>
      </c>
      <c r="N9" s="214">
        <v>10</v>
      </c>
      <c r="O9" s="215">
        <v>10</v>
      </c>
      <c r="P9" s="214"/>
      <c r="Q9" s="214"/>
      <c r="R9" s="214"/>
      <c r="S9" s="214">
        <v>10</v>
      </c>
      <c r="T9" s="214">
        <v>10</v>
      </c>
      <c r="U9" s="214">
        <v>10</v>
      </c>
      <c r="V9" s="215">
        <v>10</v>
      </c>
      <c r="W9" s="215"/>
      <c r="X9" s="214"/>
      <c r="Y9" s="214">
        <v>10</v>
      </c>
      <c r="Z9" s="248"/>
      <c r="AA9" s="237">
        <f t="shared" ref="AA9" si="10">SUM(K9:Z9)</f>
        <v>100</v>
      </c>
      <c r="AB9" s="237">
        <f t="shared" ref="AB9" si="11">SUM(K9:Z9)</f>
        <v>100</v>
      </c>
      <c r="AC9" s="237">
        <f t="shared" ref="AC9" si="12">SUM(K10:Z10)</f>
        <v>1792.1146953405</v>
      </c>
      <c r="AD9" s="124"/>
    </row>
    <row r="10" ht="21" customHeight="1" spans="1:30">
      <c r="A10" s="127"/>
      <c r="B10" s="127"/>
      <c r="C10" s="127"/>
      <c r="D10" s="127"/>
      <c r="E10" s="127"/>
      <c r="F10" s="127"/>
      <c r="G10" s="193"/>
      <c r="H10" s="127"/>
      <c r="I10" s="216"/>
      <c r="J10" s="127"/>
      <c r="K10" s="218">
        <f>+K9/$G9*$D9</f>
        <v>179.21146953405</v>
      </c>
      <c r="L10" s="218">
        <f t="shared" ref="L10:O10" si="13">+L9/$G9*$D9</f>
        <v>179.21146953405</v>
      </c>
      <c r="M10" s="218">
        <f t="shared" si="13"/>
        <v>179.21146953405</v>
      </c>
      <c r="N10" s="218">
        <f t="shared" si="13"/>
        <v>179.21146953405</v>
      </c>
      <c r="O10" s="218">
        <f t="shared" si="13"/>
        <v>179.21146953405</v>
      </c>
      <c r="P10" s="218">
        <f t="shared" ref="P10:X10" si="14">+P9/$G9*$D9</f>
        <v>0</v>
      </c>
      <c r="Q10" s="218">
        <f t="shared" si="14"/>
        <v>0</v>
      </c>
      <c r="R10" s="218">
        <f t="shared" si="14"/>
        <v>0</v>
      </c>
      <c r="S10" s="218">
        <f t="shared" si="14"/>
        <v>179.21146953405</v>
      </c>
      <c r="T10" s="218">
        <f t="shared" si="14"/>
        <v>179.21146953405</v>
      </c>
      <c r="U10" s="218">
        <f t="shared" ref="U10:V10" si="15">+U9/$G9*$D9</f>
        <v>179.21146953405</v>
      </c>
      <c r="V10" s="218">
        <f t="shared" si="15"/>
        <v>179.21146953405</v>
      </c>
      <c r="W10" s="218">
        <f t="shared" si="14"/>
        <v>0</v>
      </c>
      <c r="X10" s="218">
        <f t="shared" si="14"/>
        <v>0</v>
      </c>
      <c r="Y10" s="218">
        <f t="shared" ref="Y10" si="16">+Y9/$G9*$D9</f>
        <v>179.21146953405</v>
      </c>
      <c r="Z10" s="218">
        <f t="shared" ref="Z10" si="17">+Z9/$G9*$D9</f>
        <v>0</v>
      </c>
      <c r="AA10" s="238"/>
      <c r="AB10" s="239"/>
      <c r="AC10" s="238"/>
      <c r="AD10" s="127"/>
    </row>
    <row r="11" ht="21" customHeight="1" spans="1:30">
      <c r="A11" s="124">
        <v>4</v>
      </c>
      <c r="B11" s="124"/>
      <c r="C11" s="124" t="s">
        <v>98</v>
      </c>
      <c r="D11" s="124">
        <v>10</v>
      </c>
      <c r="E11" s="124" t="s">
        <v>99</v>
      </c>
      <c r="F11" s="124" t="s">
        <v>100</v>
      </c>
      <c r="G11" s="192">
        <v>2.25</v>
      </c>
      <c r="H11" s="124">
        <v>3</v>
      </c>
      <c r="I11" s="213">
        <f t="shared" si="9"/>
        <v>0</v>
      </c>
      <c r="J11" s="124"/>
      <c r="K11" s="214"/>
      <c r="L11" s="214"/>
      <c r="M11" s="214"/>
      <c r="N11" s="214"/>
      <c r="O11" s="215"/>
      <c r="P11" s="214"/>
      <c r="Q11" s="214"/>
      <c r="R11" s="214"/>
      <c r="S11" s="214"/>
      <c r="T11" s="214"/>
      <c r="U11" s="214"/>
      <c r="V11" s="215"/>
      <c r="W11" s="215"/>
      <c r="X11" s="214"/>
      <c r="Y11" s="214"/>
      <c r="Z11" s="248"/>
      <c r="AA11" s="237">
        <f t="shared" ref="AA11" si="18">SUM(K11:Z11)</f>
        <v>0</v>
      </c>
      <c r="AB11" s="237">
        <f t="shared" ref="AB11" si="19">SUM(K11:Z11)</f>
        <v>0</v>
      </c>
      <c r="AC11" s="237">
        <f t="shared" ref="AC11" si="20">SUM(K12:Z12)</f>
        <v>0</v>
      </c>
      <c r="AD11" s="124"/>
    </row>
    <row r="12" ht="21" customHeight="1" spans="1:30">
      <c r="A12" s="127"/>
      <c r="B12" s="127"/>
      <c r="C12" s="127"/>
      <c r="D12" s="127"/>
      <c r="E12" s="127"/>
      <c r="F12" s="127"/>
      <c r="G12" s="193"/>
      <c r="H12" s="127"/>
      <c r="I12" s="216"/>
      <c r="J12" s="127"/>
      <c r="K12" s="218">
        <f>+K11/$G11*$D11</f>
        <v>0</v>
      </c>
      <c r="L12" s="218">
        <f>+L11/$G11*$D11</f>
        <v>0</v>
      </c>
      <c r="M12" s="218">
        <f t="shared" ref="M12:O12" si="21">+M11/$G11*$D11</f>
        <v>0</v>
      </c>
      <c r="N12" s="218">
        <f t="shared" si="21"/>
        <v>0</v>
      </c>
      <c r="O12" s="218">
        <f t="shared" si="21"/>
        <v>0</v>
      </c>
      <c r="P12" s="218">
        <f t="shared" ref="P12:X12" si="22">+P11/$G11*$D11</f>
        <v>0</v>
      </c>
      <c r="Q12" s="218">
        <f t="shared" si="22"/>
        <v>0</v>
      </c>
      <c r="R12" s="218">
        <f t="shared" si="22"/>
        <v>0</v>
      </c>
      <c r="S12" s="218">
        <f t="shared" si="22"/>
        <v>0</v>
      </c>
      <c r="T12" s="218">
        <f t="shared" si="22"/>
        <v>0</v>
      </c>
      <c r="U12" s="218">
        <f t="shared" si="22"/>
        <v>0</v>
      </c>
      <c r="V12" s="218">
        <f t="shared" si="22"/>
        <v>0</v>
      </c>
      <c r="W12" s="218">
        <f t="shared" si="22"/>
        <v>0</v>
      </c>
      <c r="X12" s="218">
        <f t="shared" si="22"/>
        <v>0</v>
      </c>
      <c r="Y12" s="218">
        <f t="shared" ref="Y12" si="23">+Y11/$G11*$D11</f>
        <v>0</v>
      </c>
      <c r="Z12" s="218">
        <f t="shared" ref="Z12" si="24">+Z11/$G11*$D11</f>
        <v>0</v>
      </c>
      <c r="AA12" s="238"/>
      <c r="AB12" s="239"/>
      <c r="AC12" s="238"/>
      <c r="AD12" s="127"/>
    </row>
    <row r="13" ht="21" customHeight="1" spans="1:30">
      <c r="A13" s="124">
        <v>5</v>
      </c>
      <c r="B13" s="124"/>
      <c r="C13" s="124" t="s">
        <v>101</v>
      </c>
      <c r="D13" s="124">
        <v>1</v>
      </c>
      <c r="E13" s="124" t="s">
        <v>102</v>
      </c>
      <c r="F13" s="124" t="s">
        <v>103</v>
      </c>
      <c r="G13" s="192">
        <v>0.795</v>
      </c>
      <c r="H13" s="124">
        <v>3</v>
      </c>
      <c r="I13" s="213">
        <f t="shared" si="9"/>
        <v>0</v>
      </c>
      <c r="J13" s="124"/>
      <c r="K13" s="214"/>
      <c r="L13" s="214"/>
      <c r="M13" s="214"/>
      <c r="N13" s="214"/>
      <c r="O13" s="215"/>
      <c r="P13" s="214"/>
      <c r="Q13" s="214"/>
      <c r="R13" s="214"/>
      <c r="S13" s="214"/>
      <c r="T13" s="214"/>
      <c r="U13" s="214"/>
      <c r="V13" s="215"/>
      <c r="W13" s="215"/>
      <c r="X13" s="214"/>
      <c r="Y13" s="214"/>
      <c r="Z13" s="248"/>
      <c r="AA13" s="237">
        <f t="shared" ref="AA13" si="25">SUM(K13:Z13)</f>
        <v>0</v>
      </c>
      <c r="AB13" s="237">
        <f t="shared" ref="AB13" si="26">SUM(K13:Z13)</f>
        <v>0</v>
      </c>
      <c r="AC13" s="237">
        <f t="shared" ref="AC13" si="27">SUM(K14:Z14)</f>
        <v>0</v>
      </c>
      <c r="AD13" s="124"/>
    </row>
    <row r="14" ht="21" customHeight="1" spans="1:30">
      <c r="A14" s="127"/>
      <c r="B14" s="127"/>
      <c r="C14" s="127"/>
      <c r="D14" s="127"/>
      <c r="E14" s="127"/>
      <c r="F14" s="127"/>
      <c r="G14" s="193"/>
      <c r="H14" s="127"/>
      <c r="I14" s="216"/>
      <c r="J14" s="127"/>
      <c r="K14" s="218">
        <f>+K13/$G13*$D13</f>
        <v>0</v>
      </c>
      <c r="L14" s="218">
        <f>+L13/$G13*$D13</f>
        <v>0</v>
      </c>
      <c r="M14" s="218">
        <f t="shared" ref="M14:O14" si="28">+M13/$G13*$D13</f>
        <v>0</v>
      </c>
      <c r="N14" s="218">
        <f t="shared" si="28"/>
        <v>0</v>
      </c>
      <c r="O14" s="218">
        <f t="shared" si="28"/>
        <v>0</v>
      </c>
      <c r="P14" s="218">
        <f t="shared" ref="P14:X14" si="29">+P13/$G13*$D13</f>
        <v>0</v>
      </c>
      <c r="Q14" s="218">
        <f t="shared" si="29"/>
        <v>0</v>
      </c>
      <c r="R14" s="218">
        <f t="shared" si="29"/>
        <v>0</v>
      </c>
      <c r="S14" s="218">
        <f t="shared" si="29"/>
        <v>0</v>
      </c>
      <c r="T14" s="218">
        <f t="shared" si="29"/>
        <v>0</v>
      </c>
      <c r="U14" s="218">
        <f t="shared" si="29"/>
        <v>0</v>
      </c>
      <c r="V14" s="218">
        <f t="shared" si="29"/>
        <v>0</v>
      </c>
      <c r="W14" s="218">
        <f t="shared" si="29"/>
        <v>0</v>
      </c>
      <c r="X14" s="218">
        <f t="shared" si="29"/>
        <v>0</v>
      </c>
      <c r="Y14" s="218">
        <f t="shared" ref="Y14" si="30">+Y13/$G13*$D13</f>
        <v>0</v>
      </c>
      <c r="Z14" s="218">
        <f t="shared" ref="Z14" si="31">+Z13/$G13*$D13</f>
        <v>0</v>
      </c>
      <c r="AA14" s="238"/>
      <c r="AB14" s="239"/>
      <c r="AC14" s="238"/>
      <c r="AD14" s="127"/>
    </row>
    <row r="15" ht="21" customHeight="1" spans="1:30">
      <c r="A15" s="124">
        <v>6</v>
      </c>
      <c r="B15" s="124"/>
      <c r="C15" s="124" t="s">
        <v>104</v>
      </c>
      <c r="D15" s="124">
        <v>1</v>
      </c>
      <c r="E15" s="124" t="s">
        <v>105</v>
      </c>
      <c r="F15" s="124" t="s">
        <v>106</v>
      </c>
      <c r="G15" s="192">
        <v>2.42</v>
      </c>
      <c r="H15" s="124">
        <v>3</v>
      </c>
      <c r="I15" s="213">
        <f t="shared" si="9"/>
        <v>0</v>
      </c>
      <c r="J15" s="124"/>
      <c r="K15" s="214"/>
      <c r="L15" s="214"/>
      <c r="M15" s="214"/>
      <c r="N15" s="214"/>
      <c r="O15" s="215"/>
      <c r="P15" s="214"/>
      <c r="Q15" s="214"/>
      <c r="R15" s="214"/>
      <c r="S15" s="214"/>
      <c r="T15" s="214"/>
      <c r="U15" s="214"/>
      <c r="V15" s="215"/>
      <c r="W15" s="215"/>
      <c r="X15" s="214"/>
      <c r="Y15" s="214"/>
      <c r="Z15" s="248"/>
      <c r="AA15" s="237">
        <f t="shared" ref="AA15" si="32">SUM(K15:Z15)</f>
        <v>0</v>
      </c>
      <c r="AB15" s="237">
        <f t="shared" ref="AB15" si="33">SUM(K15:Z15)</f>
        <v>0</v>
      </c>
      <c r="AC15" s="237">
        <f t="shared" ref="AC15" si="34">SUM(K16:Z16)</f>
        <v>0</v>
      </c>
      <c r="AD15" s="124"/>
    </row>
    <row r="16" ht="21" customHeight="1" spans="1:30">
      <c r="A16" s="127"/>
      <c r="B16" s="127"/>
      <c r="C16" s="127"/>
      <c r="D16" s="127"/>
      <c r="E16" s="127"/>
      <c r="F16" s="127"/>
      <c r="G16" s="193"/>
      <c r="H16" s="127"/>
      <c r="I16" s="216"/>
      <c r="J16" s="127"/>
      <c r="K16" s="218">
        <f>+K15/$G15*$D15</f>
        <v>0</v>
      </c>
      <c r="L16" s="218">
        <f t="shared" ref="L16:O16" si="35">+L15/$G15*$D15</f>
        <v>0</v>
      </c>
      <c r="M16" s="218">
        <f t="shared" si="35"/>
        <v>0</v>
      </c>
      <c r="N16" s="218">
        <f t="shared" si="35"/>
        <v>0</v>
      </c>
      <c r="O16" s="218">
        <f t="shared" si="35"/>
        <v>0</v>
      </c>
      <c r="P16" s="218">
        <f t="shared" ref="P16:X16" si="36">+P15/$G15*$D15</f>
        <v>0</v>
      </c>
      <c r="Q16" s="218">
        <f t="shared" si="36"/>
        <v>0</v>
      </c>
      <c r="R16" s="218">
        <f t="shared" si="36"/>
        <v>0</v>
      </c>
      <c r="S16" s="218">
        <f t="shared" si="36"/>
        <v>0</v>
      </c>
      <c r="T16" s="218">
        <f t="shared" si="36"/>
        <v>0</v>
      </c>
      <c r="U16" s="218">
        <f t="shared" si="36"/>
        <v>0</v>
      </c>
      <c r="V16" s="218">
        <f t="shared" si="36"/>
        <v>0</v>
      </c>
      <c r="W16" s="218">
        <f t="shared" si="36"/>
        <v>0</v>
      </c>
      <c r="X16" s="218">
        <f t="shared" si="36"/>
        <v>0</v>
      </c>
      <c r="Y16" s="218">
        <f t="shared" ref="Y16" si="37">+Y15/$G15*$D15</f>
        <v>0</v>
      </c>
      <c r="Z16" s="218">
        <f t="shared" ref="Z16" si="38">+Z15/$G15*$D15</f>
        <v>0</v>
      </c>
      <c r="AA16" s="238"/>
      <c r="AB16" s="239"/>
      <c r="AC16" s="238"/>
      <c r="AD16" s="127"/>
    </row>
    <row r="17" ht="21" customHeight="1" spans="1:30">
      <c r="A17" s="124">
        <v>7</v>
      </c>
      <c r="B17" s="124"/>
      <c r="C17" s="124" t="s">
        <v>107</v>
      </c>
      <c r="D17" s="124">
        <v>10</v>
      </c>
      <c r="E17" s="124" t="s">
        <v>108</v>
      </c>
      <c r="F17" s="124" t="s">
        <v>109</v>
      </c>
      <c r="G17" s="192">
        <v>1.57</v>
      </c>
      <c r="H17" s="124">
        <v>5</v>
      </c>
      <c r="I17" s="213">
        <f t="shared" si="9"/>
        <v>0</v>
      </c>
      <c r="J17" s="124"/>
      <c r="K17" s="214"/>
      <c r="L17" s="214"/>
      <c r="M17" s="214"/>
      <c r="N17" s="214"/>
      <c r="O17" s="215"/>
      <c r="P17" s="214"/>
      <c r="Q17" s="214"/>
      <c r="R17" s="214"/>
      <c r="S17" s="214"/>
      <c r="T17" s="214"/>
      <c r="U17" s="214"/>
      <c r="V17" s="215"/>
      <c r="W17" s="215"/>
      <c r="X17" s="214"/>
      <c r="Y17" s="214"/>
      <c r="Z17" s="248"/>
      <c r="AA17" s="237">
        <f t="shared" ref="AA17" si="39">SUM(K17:Z17)</f>
        <v>0</v>
      </c>
      <c r="AB17" s="237">
        <f t="shared" ref="AB17" si="40">SUM(K17:Z17)</f>
        <v>0</v>
      </c>
      <c r="AC17" s="237">
        <f t="shared" ref="AC17" si="41">SUM(K18:Z18)</f>
        <v>0</v>
      </c>
      <c r="AD17" s="124"/>
    </row>
    <row r="18" ht="21" customHeight="1" spans="1:30">
      <c r="A18" s="127"/>
      <c r="B18" s="127"/>
      <c r="C18" s="127"/>
      <c r="D18" s="127"/>
      <c r="E18" s="127"/>
      <c r="F18" s="127"/>
      <c r="G18" s="193"/>
      <c r="H18" s="127"/>
      <c r="I18" s="216"/>
      <c r="J18" s="127"/>
      <c r="K18" s="218">
        <f>+K17/$G17*$D17</f>
        <v>0</v>
      </c>
      <c r="L18" s="218">
        <f t="shared" ref="L18:O18" si="42">+L17/$G17*$D17</f>
        <v>0</v>
      </c>
      <c r="M18" s="218">
        <f t="shared" si="42"/>
        <v>0</v>
      </c>
      <c r="N18" s="218">
        <f t="shared" si="42"/>
        <v>0</v>
      </c>
      <c r="O18" s="218">
        <f t="shared" si="42"/>
        <v>0</v>
      </c>
      <c r="P18" s="218">
        <f t="shared" ref="P18:W18" si="43">+P17/$G17*$D17</f>
        <v>0</v>
      </c>
      <c r="Q18" s="218">
        <f t="shared" si="43"/>
        <v>0</v>
      </c>
      <c r="R18" s="218">
        <f t="shared" si="43"/>
        <v>0</v>
      </c>
      <c r="S18" s="218">
        <f t="shared" si="43"/>
        <v>0</v>
      </c>
      <c r="T18" s="218">
        <f t="shared" si="43"/>
        <v>0</v>
      </c>
      <c r="U18" s="218">
        <f t="shared" si="43"/>
        <v>0</v>
      </c>
      <c r="V18" s="218">
        <f t="shared" si="43"/>
        <v>0</v>
      </c>
      <c r="W18" s="218">
        <f t="shared" si="43"/>
        <v>0</v>
      </c>
      <c r="X18" s="218">
        <f t="shared" ref="X18" si="44">+X17/$G17*$D17</f>
        <v>0</v>
      </c>
      <c r="Y18" s="218">
        <f t="shared" ref="Y18" si="45">+Y17/$G17*$D17</f>
        <v>0</v>
      </c>
      <c r="Z18" s="218">
        <f t="shared" ref="Z18" si="46">+Z17/$G17*$D17</f>
        <v>0</v>
      </c>
      <c r="AA18" s="238"/>
      <c r="AB18" s="239"/>
      <c r="AC18" s="238"/>
      <c r="AD18" s="127"/>
    </row>
    <row r="19" ht="21" customHeight="1" spans="1:30">
      <c r="A19" s="124">
        <v>8</v>
      </c>
      <c r="B19" s="124"/>
      <c r="C19" s="124" t="s">
        <v>110</v>
      </c>
      <c r="D19" s="124">
        <v>100</v>
      </c>
      <c r="E19" s="124" t="s">
        <v>111</v>
      </c>
      <c r="F19" s="124" t="s">
        <v>112</v>
      </c>
      <c r="G19" s="192">
        <v>0.421</v>
      </c>
      <c r="H19" s="124">
        <v>4</v>
      </c>
      <c r="I19" s="213">
        <f t="shared" si="9"/>
        <v>0</v>
      </c>
      <c r="J19" s="124"/>
      <c r="K19" s="214"/>
      <c r="L19" s="214"/>
      <c r="M19" s="214"/>
      <c r="N19" s="214"/>
      <c r="O19" s="215"/>
      <c r="P19" s="214"/>
      <c r="Q19" s="214"/>
      <c r="R19" s="214"/>
      <c r="S19" s="214"/>
      <c r="T19" s="214"/>
      <c r="U19" s="214"/>
      <c r="V19" s="215"/>
      <c r="W19" s="215"/>
      <c r="X19" s="214"/>
      <c r="Y19" s="214"/>
      <c r="Z19" s="248"/>
      <c r="AA19" s="237">
        <f t="shared" ref="AA19" si="47">SUM(K19:Z19)</f>
        <v>0</v>
      </c>
      <c r="AB19" s="237">
        <f t="shared" ref="AB19" si="48">SUM(K19:Z19)</f>
        <v>0</v>
      </c>
      <c r="AC19" s="237">
        <f t="shared" ref="AC19" si="49">SUM(K20:Z20)</f>
        <v>0</v>
      </c>
      <c r="AD19" s="124"/>
    </row>
    <row r="20" ht="21" customHeight="1" spans="1:30">
      <c r="A20" s="127"/>
      <c r="B20" s="127"/>
      <c r="C20" s="127"/>
      <c r="D20" s="127"/>
      <c r="E20" s="127"/>
      <c r="F20" s="127"/>
      <c r="G20" s="193"/>
      <c r="H20" s="127"/>
      <c r="I20" s="216"/>
      <c r="J20" s="127"/>
      <c r="K20" s="218">
        <f>+K19/$G19*$D19</f>
        <v>0</v>
      </c>
      <c r="L20" s="218">
        <f t="shared" ref="L20:Y20" si="50">+L19/$G19*$D19</f>
        <v>0</v>
      </c>
      <c r="M20" s="218">
        <f t="shared" si="50"/>
        <v>0</v>
      </c>
      <c r="N20" s="218">
        <f t="shared" si="50"/>
        <v>0</v>
      </c>
      <c r="O20" s="218">
        <f t="shared" si="50"/>
        <v>0</v>
      </c>
      <c r="P20" s="218">
        <f t="shared" si="50"/>
        <v>0</v>
      </c>
      <c r="Q20" s="218">
        <f t="shared" si="50"/>
        <v>0</v>
      </c>
      <c r="R20" s="218">
        <f t="shared" si="50"/>
        <v>0</v>
      </c>
      <c r="S20" s="218">
        <f t="shared" si="50"/>
        <v>0</v>
      </c>
      <c r="T20" s="218">
        <f t="shared" si="50"/>
        <v>0</v>
      </c>
      <c r="U20" s="218">
        <f t="shared" si="50"/>
        <v>0</v>
      </c>
      <c r="V20" s="218">
        <f t="shared" si="50"/>
        <v>0</v>
      </c>
      <c r="W20" s="218">
        <f t="shared" si="50"/>
        <v>0</v>
      </c>
      <c r="X20" s="218">
        <f t="shared" si="50"/>
        <v>0</v>
      </c>
      <c r="Y20" s="218">
        <f t="shared" si="50"/>
        <v>0</v>
      </c>
      <c r="Z20" s="218">
        <f t="shared" ref="Z20" si="51">+Z19/$G19*$D19</f>
        <v>0</v>
      </c>
      <c r="AA20" s="238"/>
      <c r="AB20" s="239"/>
      <c r="AC20" s="238"/>
      <c r="AD20" s="127"/>
    </row>
    <row r="21" ht="21" customHeight="1" spans="1:30">
      <c r="A21" s="124">
        <v>9</v>
      </c>
      <c r="B21" s="124" t="s">
        <v>91</v>
      </c>
      <c r="C21" s="124" t="s">
        <v>113</v>
      </c>
      <c r="D21" s="124">
        <v>100</v>
      </c>
      <c r="E21" s="124" t="s">
        <v>114</v>
      </c>
      <c r="F21" s="124" t="s">
        <v>115</v>
      </c>
      <c r="G21" s="192">
        <v>7.59</v>
      </c>
      <c r="H21" s="124">
        <v>3</v>
      </c>
      <c r="I21" s="213">
        <f t="shared" si="9"/>
        <v>790.513833992095</v>
      </c>
      <c r="J21" s="124">
        <v>60</v>
      </c>
      <c r="K21" s="214">
        <v>5</v>
      </c>
      <c r="L21" s="214">
        <v>5</v>
      </c>
      <c r="M21" s="214">
        <v>5</v>
      </c>
      <c r="N21" s="214">
        <v>5</v>
      </c>
      <c r="O21" s="215">
        <v>5</v>
      </c>
      <c r="P21" s="214"/>
      <c r="Q21" s="214"/>
      <c r="R21" s="214"/>
      <c r="S21" s="214">
        <v>5</v>
      </c>
      <c r="T21" s="214">
        <v>5</v>
      </c>
      <c r="U21" s="214">
        <v>5</v>
      </c>
      <c r="V21" s="215">
        <v>5</v>
      </c>
      <c r="W21" s="215"/>
      <c r="X21" s="214"/>
      <c r="Y21" s="214">
        <v>5</v>
      </c>
      <c r="Z21" s="248"/>
      <c r="AA21" s="237">
        <f t="shared" ref="AA21" si="52">SUM(K21:Z21)</f>
        <v>50</v>
      </c>
      <c r="AB21" s="237">
        <f t="shared" ref="AB21" si="53">SUM(K21:Z21)</f>
        <v>50</v>
      </c>
      <c r="AC21" s="237">
        <f t="shared" ref="AC21" si="54">SUM(K22:Z22)</f>
        <v>658.761528326746</v>
      </c>
      <c r="AD21" s="124"/>
    </row>
    <row r="22" ht="21" customHeight="1" spans="1:30">
      <c r="A22" s="127"/>
      <c r="B22" s="127"/>
      <c r="C22" s="127"/>
      <c r="D22" s="127"/>
      <c r="E22" s="127"/>
      <c r="F22" s="127"/>
      <c r="G22" s="193"/>
      <c r="H22" s="127"/>
      <c r="I22" s="216"/>
      <c r="J22" s="127"/>
      <c r="K22" s="218">
        <f>+K21/$G21*$D21</f>
        <v>65.8761528326746</v>
      </c>
      <c r="L22" s="218">
        <f t="shared" ref="L22:W22" si="55">+L21/$G21*$D21</f>
        <v>65.8761528326746</v>
      </c>
      <c r="M22" s="218">
        <f t="shared" si="55"/>
        <v>65.8761528326746</v>
      </c>
      <c r="N22" s="218">
        <f t="shared" si="55"/>
        <v>65.8761528326746</v>
      </c>
      <c r="O22" s="218">
        <f t="shared" si="55"/>
        <v>65.8761528326746</v>
      </c>
      <c r="P22" s="218">
        <f t="shared" si="55"/>
        <v>0</v>
      </c>
      <c r="Q22" s="218">
        <f t="shared" si="55"/>
        <v>0</v>
      </c>
      <c r="R22" s="218">
        <f t="shared" si="55"/>
        <v>0</v>
      </c>
      <c r="S22" s="218">
        <f t="shared" si="55"/>
        <v>65.8761528326746</v>
      </c>
      <c r="T22" s="218">
        <f t="shared" si="55"/>
        <v>65.8761528326746</v>
      </c>
      <c r="U22" s="218">
        <f t="shared" si="55"/>
        <v>65.8761528326746</v>
      </c>
      <c r="V22" s="218">
        <f t="shared" si="55"/>
        <v>65.8761528326746</v>
      </c>
      <c r="W22" s="218">
        <f t="shared" si="55"/>
        <v>0</v>
      </c>
      <c r="X22" s="218">
        <f t="shared" ref="X22" si="56">+X21/$G21*$D21</f>
        <v>0</v>
      </c>
      <c r="Y22" s="218">
        <f t="shared" ref="Y22" si="57">+Y21/$G21*$D21</f>
        <v>65.8761528326746</v>
      </c>
      <c r="Z22" s="218">
        <f t="shared" ref="Z22" si="58">+Z21/$G21*$D21</f>
        <v>0</v>
      </c>
      <c r="AA22" s="238"/>
      <c r="AB22" s="239"/>
      <c r="AC22" s="238"/>
      <c r="AD22" s="127"/>
    </row>
    <row r="23" ht="21" customHeight="1" spans="1:30">
      <c r="A23" s="124">
        <v>10</v>
      </c>
      <c r="B23" s="124"/>
      <c r="C23" s="124" t="s">
        <v>116</v>
      </c>
      <c r="D23" s="124">
        <v>1</v>
      </c>
      <c r="E23" s="124" t="s">
        <v>117</v>
      </c>
      <c r="F23" s="124" t="s">
        <v>118</v>
      </c>
      <c r="G23" s="192">
        <v>2.05</v>
      </c>
      <c r="H23" s="124">
        <v>4</v>
      </c>
      <c r="I23" s="213">
        <f t="shared" si="9"/>
        <v>0</v>
      </c>
      <c r="J23" s="124"/>
      <c r="K23" s="214"/>
      <c r="L23" s="214"/>
      <c r="M23" s="214"/>
      <c r="N23" s="214"/>
      <c r="O23" s="215"/>
      <c r="P23" s="214"/>
      <c r="Q23" s="214"/>
      <c r="R23" s="214"/>
      <c r="S23" s="214"/>
      <c r="T23" s="214"/>
      <c r="U23" s="214"/>
      <c r="V23" s="215"/>
      <c r="W23" s="215"/>
      <c r="X23" s="214"/>
      <c r="Y23" s="214"/>
      <c r="Z23" s="248"/>
      <c r="AA23" s="237">
        <f t="shared" ref="AA23" si="59">SUM(K23:Z23)</f>
        <v>0</v>
      </c>
      <c r="AB23" s="237">
        <f t="shared" ref="AB23" si="60">SUM(K23:Z23)</f>
        <v>0</v>
      </c>
      <c r="AC23" s="237">
        <f t="shared" ref="AC23" si="61">SUM(K24:Z24)</f>
        <v>0</v>
      </c>
      <c r="AD23" s="124"/>
    </row>
    <row r="24" ht="21" customHeight="1" spans="1:30">
      <c r="A24" s="127"/>
      <c r="B24" s="127"/>
      <c r="C24" s="127"/>
      <c r="D24" s="127"/>
      <c r="E24" s="127"/>
      <c r="F24" s="127"/>
      <c r="G24" s="193"/>
      <c r="H24" s="127"/>
      <c r="I24" s="216"/>
      <c r="J24" s="127"/>
      <c r="K24" s="218">
        <f>+K23/$G23*$D23</f>
        <v>0</v>
      </c>
      <c r="L24" s="218">
        <f t="shared" ref="L24:W24" si="62">+L23/$G23*$D23</f>
        <v>0</v>
      </c>
      <c r="M24" s="218">
        <f t="shared" si="62"/>
        <v>0</v>
      </c>
      <c r="N24" s="218">
        <f t="shared" si="62"/>
        <v>0</v>
      </c>
      <c r="O24" s="218">
        <f t="shared" si="62"/>
        <v>0</v>
      </c>
      <c r="P24" s="218">
        <f t="shared" si="62"/>
        <v>0</v>
      </c>
      <c r="Q24" s="218">
        <f t="shared" si="62"/>
        <v>0</v>
      </c>
      <c r="R24" s="218">
        <f t="shared" si="62"/>
        <v>0</v>
      </c>
      <c r="S24" s="218">
        <f t="shared" si="62"/>
        <v>0</v>
      </c>
      <c r="T24" s="218">
        <f t="shared" si="62"/>
        <v>0</v>
      </c>
      <c r="U24" s="218">
        <f t="shared" si="62"/>
        <v>0</v>
      </c>
      <c r="V24" s="218">
        <f t="shared" si="62"/>
        <v>0</v>
      </c>
      <c r="W24" s="218">
        <f t="shared" si="62"/>
        <v>0</v>
      </c>
      <c r="X24" s="218">
        <f t="shared" ref="X24" si="63">+X23/$G23*$D23</f>
        <v>0</v>
      </c>
      <c r="Y24" s="218">
        <f t="shared" ref="Y24" si="64">+Y23/$G23*$D23</f>
        <v>0</v>
      </c>
      <c r="Z24" s="218">
        <f t="shared" ref="Z24" si="65">+Z23/$G23*$D23</f>
        <v>0</v>
      </c>
      <c r="AA24" s="238"/>
      <c r="AB24" s="239"/>
      <c r="AC24" s="238"/>
      <c r="AD24" s="127"/>
    </row>
    <row r="25" ht="21" customHeight="1" spans="1:30">
      <c r="A25" s="124">
        <v>11</v>
      </c>
      <c r="B25" s="124" t="s">
        <v>91</v>
      </c>
      <c r="C25" s="124" t="s">
        <v>119</v>
      </c>
      <c r="D25" s="124">
        <v>10</v>
      </c>
      <c r="E25" s="124" t="s">
        <v>120</v>
      </c>
      <c r="F25" s="124" t="s">
        <v>121</v>
      </c>
      <c r="G25" s="192">
        <v>0.501</v>
      </c>
      <c r="H25" s="124">
        <v>4</v>
      </c>
      <c r="I25" s="213">
        <f t="shared" si="9"/>
        <v>1197.60479041916</v>
      </c>
      <c r="J25" s="124">
        <v>60</v>
      </c>
      <c r="K25" s="214">
        <v>5</v>
      </c>
      <c r="L25" s="214">
        <v>5</v>
      </c>
      <c r="M25" s="214">
        <v>5</v>
      </c>
      <c r="N25" s="214">
        <v>5</v>
      </c>
      <c r="O25" s="215">
        <v>5</v>
      </c>
      <c r="P25" s="214"/>
      <c r="Q25" s="214"/>
      <c r="R25" s="214"/>
      <c r="S25" s="214">
        <v>5</v>
      </c>
      <c r="T25" s="214">
        <v>5</v>
      </c>
      <c r="U25" s="214">
        <v>5</v>
      </c>
      <c r="V25" s="215">
        <v>5</v>
      </c>
      <c r="W25" s="215"/>
      <c r="X25" s="214"/>
      <c r="Y25" s="214">
        <v>5</v>
      </c>
      <c r="Z25" s="248"/>
      <c r="AA25" s="237">
        <f t="shared" ref="AA25" si="66">SUM(K25:Z25)</f>
        <v>50</v>
      </c>
      <c r="AB25" s="237">
        <f t="shared" ref="AB25" si="67">SUM(K25:Z25)</f>
        <v>50</v>
      </c>
      <c r="AC25" s="237">
        <f t="shared" ref="AC25" si="68">SUM(K26:Z26)</f>
        <v>998.003992015968</v>
      </c>
      <c r="AD25" s="124"/>
    </row>
    <row r="26" ht="21" customHeight="1" spans="1:30">
      <c r="A26" s="127"/>
      <c r="B26" s="127"/>
      <c r="C26" s="127"/>
      <c r="D26" s="127"/>
      <c r="E26" s="127"/>
      <c r="F26" s="127"/>
      <c r="G26" s="193"/>
      <c r="H26" s="127"/>
      <c r="I26" s="216"/>
      <c r="J26" s="127"/>
      <c r="K26" s="246">
        <f>+K25/$G25*$D25</f>
        <v>99.8003992015968</v>
      </c>
      <c r="L26" s="246">
        <f t="shared" ref="L26:W26" si="69">+L25/$G25*$D25</f>
        <v>99.8003992015968</v>
      </c>
      <c r="M26" s="246">
        <f t="shared" si="69"/>
        <v>99.8003992015968</v>
      </c>
      <c r="N26" s="246">
        <f t="shared" si="69"/>
        <v>99.8003992015968</v>
      </c>
      <c r="O26" s="246">
        <f t="shared" si="69"/>
        <v>99.8003992015968</v>
      </c>
      <c r="P26" s="246">
        <f t="shared" si="69"/>
        <v>0</v>
      </c>
      <c r="Q26" s="246">
        <f t="shared" si="69"/>
        <v>0</v>
      </c>
      <c r="R26" s="246">
        <f t="shared" si="69"/>
        <v>0</v>
      </c>
      <c r="S26" s="246">
        <f t="shared" si="69"/>
        <v>99.8003992015968</v>
      </c>
      <c r="T26" s="246">
        <f t="shared" si="69"/>
        <v>99.8003992015968</v>
      </c>
      <c r="U26" s="246">
        <f t="shared" si="69"/>
        <v>99.8003992015968</v>
      </c>
      <c r="V26" s="246">
        <f t="shared" si="69"/>
        <v>99.8003992015968</v>
      </c>
      <c r="W26" s="246">
        <f t="shared" si="69"/>
        <v>0</v>
      </c>
      <c r="X26" s="246">
        <f t="shared" ref="X26" si="70">+X25/$G25*$D25</f>
        <v>0</v>
      </c>
      <c r="Y26" s="246">
        <f t="shared" ref="Y26" si="71">+Y25/$G25*$D25</f>
        <v>99.8003992015968</v>
      </c>
      <c r="Z26" s="246">
        <f t="shared" ref="Z26" si="72">+Z25/$G25*$D25</f>
        <v>0</v>
      </c>
      <c r="AA26" s="238"/>
      <c r="AB26" s="239"/>
      <c r="AC26" s="238"/>
      <c r="AD26" s="127"/>
    </row>
    <row r="27" ht="21" customHeight="1" spans="1:30">
      <c r="A27" s="124">
        <v>12</v>
      </c>
      <c r="B27" s="124"/>
      <c r="C27" s="124" t="s">
        <v>122</v>
      </c>
      <c r="D27" s="124">
        <v>1</v>
      </c>
      <c r="E27" s="124" t="s">
        <v>89</v>
      </c>
      <c r="F27" s="124" t="s">
        <v>123</v>
      </c>
      <c r="G27" s="192">
        <v>1.83</v>
      </c>
      <c r="H27" s="148">
        <v>3.6</v>
      </c>
      <c r="I27" s="213">
        <f t="shared" si="9"/>
        <v>0</v>
      </c>
      <c r="J27" s="124"/>
      <c r="K27" s="214"/>
      <c r="L27" s="214"/>
      <c r="M27" s="214"/>
      <c r="N27" s="214"/>
      <c r="O27" s="215"/>
      <c r="P27" s="214"/>
      <c r="Q27" s="214"/>
      <c r="R27" s="214"/>
      <c r="S27" s="214"/>
      <c r="T27" s="214"/>
      <c r="U27" s="214"/>
      <c r="V27" s="215"/>
      <c r="W27" s="215"/>
      <c r="X27" s="214"/>
      <c r="Y27" s="214"/>
      <c r="Z27" s="248"/>
      <c r="AA27" s="237">
        <f t="shared" ref="AA27" si="73">SUM(K27:Z27)</f>
        <v>0</v>
      </c>
      <c r="AB27" s="237">
        <f t="shared" ref="AB27" si="74">SUM(K27:Z27)</f>
        <v>0</v>
      </c>
      <c r="AC27" s="237">
        <f t="shared" ref="AC27" si="75">SUM(K28:Z28)</f>
        <v>0</v>
      </c>
      <c r="AD27" s="124"/>
    </row>
    <row r="28" ht="21" customHeight="1" spans="1:30">
      <c r="A28" s="127"/>
      <c r="B28" s="194"/>
      <c r="C28" s="127"/>
      <c r="D28" s="127"/>
      <c r="E28" s="127"/>
      <c r="F28" s="127"/>
      <c r="G28" s="193"/>
      <c r="H28" s="150"/>
      <c r="I28" s="216"/>
      <c r="J28" s="127"/>
      <c r="K28" s="218">
        <f>+K27/$G27*$D27</f>
        <v>0</v>
      </c>
      <c r="L28" s="218">
        <f t="shared" ref="L28:X28" si="76">+L27/$G27*$D27</f>
        <v>0</v>
      </c>
      <c r="M28" s="218">
        <f t="shared" si="76"/>
        <v>0</v>
      </c>
      <c r="N28" s="218">
        <f t="shared" si="76"/>
        <v>0</v>
      </c>
      <c r="O28" s="218">
        <f t="shared" si="76"/>
        <v>0</v>
      </c>
      <c r="P28" s="218">
        <f t="shared" si="76"/>
        <v>0</v>
      </c>
      <c r="Q28" s="218">
        <f t="shared" si="76"/>
        <v>0</v>
      </c>
      <c r="R28" s="218">
        <f t="shared" si="76"/>
        <v>0</v>
      </c>
      <c r="S28" s="218">
        <f t="shared" si="76"/>
        <v>0</v>
      </c>
      <c r="T28" s="218">
        <f t="shared" si="76"/>
        <v>0</v>
      </c>
      <c r="U28" s="218">
        <f t="shared" si="76"/>
        <v>0</v>
      </c>
      <c r="V28" s="218">
        <f t="shared" si="76"/>
        <v>0</v>
      </c>
      <c r="W28" s="218">
        <f t="shared" si="76"/>
        <v>0</v>
      </c>
      <c r="X28" s="218">
        <f t="shared" si="76"/>
        <v>0</v>
      </c>
      <c r="Y28" s="218">
        <f t="shared" ref="Y28" si="77">+Y27/$G27*$D27</f>
        <v>0</v>
      </c>
      <c r="Z28" s="218">
        <f t="shared" ref="Z28" si="78">+Z27/$G27*$D27</f>
        <v>0</v>
      </c>
      <c r="AA28" s="238"/>
      <c r="AB28" s="239"/>
      <c r="AC28" s="238"/>
      <c r="AD28" s="194"/>
    </row>
    <row r="29" ht="21" customHeight="1" spans="1:30">
      <c r="A29" s="124">
        <v>13</v>
      </c>
      <c r="B29" s="124"/>
      <c r="C29" s="124" t="s">
        <v>124</v>
      </c>
      <c r="D29" s="124">
        <v>10</v>
      </c>
      <c r="E29" s="124" t="s">
        <v>125</v>
      </c>
      <c r="F29" s="124" t="s">
        <v>126</v>
      </c>
      <c r="G29" s="192">
        <v>1.3</v>
      </c>
      <c r="H29" s="148">
        <v>5</v>
      </c>
      <c r="I29" s="213">
        <f t="shared" si="9"/>
        <v>0</v>
      </c>
      <c r="J29" s="124"/>
      <c r="K29" s="214"/>
      <c r="L29" s="214"/>
      <c r="M29" s="214"/>
      <c r="N29" s="214"/>
      <c r="O29" s="215"/>
      <c r="P29" s="214"/>
      <c r="Q29" s="214"/>
      <c r="R29" s="214"/>
      <c r="S29" s="214"/>
      <c r="T29" s="214"/>
      <c r="U29" s="214"/>
      <c r="V29" s="215"/>
      <c r="W29" s="215"/>
      <c r="X29" s="214"/>
      <c r="Y29" s="214"/>
      <c r="Z29" s="248"/>
      <c r="AA29" s="237">
        <f t="shared" ref="AA29" si="79">SUM(K29:Z29)</f>
        <v>0</v>
      </c>
      <c r="AB29" s="237">
        <f t="shared" ref="AB29" si="80">SUM(K29:Z29)</f>
        <v>0</v>
      </c>
      <c r="AC29" s="237">
        <f t="shared" ref="AC29" si="81">SUM(K30:Z30)</f>
        <v>0</v>
      </c>
      <c r="AD29" s="194"/>
    </row>
    <row r="30" ht="21" customHeight="1" spans="1:30">
      <c r="A30" s="127"/>
      <c r="B30" s="127"/>
      <c r="C30" s="127"/>
      <c r="D30" s="127"/>
      <c r="E30" s="127"/>
      <c r="F30" s="127"/>
      <c r="G30" s="193"/>
      <c r="H30" s="150"/>
      <c r="I30" s="216"/>
      <c r="J30" s="127"/>
      <c r="K30" s="218">
        <f>+K29/$G29*$D29</f>
        <v>0</v>
      </c>
      <c r="L30" s="218">
        <f t="shared" ref="L30:W30" si="82">+L29/$G29*$D29</f>
        <v>0</v>
      </c>
      <c r="M30" s="218">
        <f t="shared" si="82"/>
        <v>0</v>
      </c>
      <c r="N30" s="218">
        <f t="shared" si="82"/>
        <v>0</v>
      </c>
      <c r="O30" s="218">
        <f t="shared" si="82"/>
        <v>0</v>
      </c>
      <c r="P30" s="218">
        <f t="shared" si="82"/>
        <v>0</v>
      </c>
      <c r="Q30" s="218">
        <f t="shared" si="82"/>
        <v>0</v>
      </c>
      <c r="R30" s="218">
        <f t="shared" si="82"/>
        <v>0</v>
      </c>
      <c r="S30" s="218">
        <f t="shared" si="82"/>
        <v>0</v>
      </c>
      <c r="T30" s="218">
        <f t="shared" si="82"/>
        <v>0</v>
      </c>
      <c r="U30" s="218">
        <f t="shared" si="82"/>
        <v>0</v>
      </c>
      <c r="V30" s="218">
        <f t="shared" si="82"/>
        <v>0</v>
      </c>
      <c r="W30" s="218">
        <f t="shared" si="82"/>
        <v>0</v>
      </c>
      <c r="X30" s="218">
        <f t="shared" ref="X30" si="83">+X29/$G29*$D29</f>
        <v>0</v>
      </c>
      <c r="Y30" s="218">
        <f t="shared" ref="Y30" si="84">+Y29/$G29*$D29</f>
        <v>0</v>
      </c>
      <c r="Z30" s="218">
        <f t="shared" ref="Z30" si="85">+Z29/$G29*$D29</f>
        <v>0</v>
      </c>
      <c r="AA30" s="238"/>
      <c r="AB30" s="239"/>
      <c r="AC30" s="238"/>
      <c r="AD30" s="194"/>
    </row>
    <row r="31" ht="21" customHeight="1" spans="1:30">
      <c r="A31" s="124">
        <v>14</v>
      </c>
      <c r="B31" s="124" t="s">
        <v>127</v>
      </c>
      <c r="C31" s="124" t="s">
        <v>128</v>
      </c>
      <c r="D31" s="124">
        <v>1</v>
      </c>
      <c r="E31" s="124" t="s">
        <v>129</v>
      </c>
      <c r="F31" s="124" t="s">
        <v>130</v>
      </c>
      <c r="G31" s="192">
        <v>2</v>
      </c>
      <c r="H31" s="148">
        <v>3.6</v>
      </c>
      <c r="I31" s="213">
        <f t="shared" si="9"/>
        <v>8</v>
      </c>
      <c r="J31" s="124">
        <v>16</v>
      </c>
      <c r="K31" s="214"/>
      <c r="L31" s="214"/>
      <c r="M31" s="214"/>
      <c r="N31" s="214"/>
      <c r="O31" s="215"/>
      <c r="P31" s="214"/>
      <c r="Q31" s="214"/>
      <c r="R31" s="214"/>
      <c r="S31" s="214"/>
      <c r="T31" s="214"/>
      <c r="U31" s="214">
        <v>16</v>
      </c>
      <c r="V31" s="215"/>
      <c r="W31" s="215"/>
      <c r="X31" s="214"/>
      <c r="Y31" s="214"/>
      <c r="Z31" s="248"/>
      <c r="AA31" s="237">
        <f t="shared" ref="AA31" si="86">SUM(K31:Z31)</f>
        <v>16</v>
      </c>
      <c r="AB31" s="237">
        <f t="shared" ref="AB31" si="87">SUM(K31:Z31)</f>
        <v>16</v>
      </c>
      <c r="AC31" s="237">
        <f t="shared" ref="AC31" si="88">SUM(K32:Z32)</f>
        <v>8</v>
      </c>
      <c r="AD31" s="194"/>
    </row>
    <row r="32" ht="21" customHeight="1" spans="1:30">
      <c r="A32" s="127"/>
      <c r="B32" s="127"/>
      <c r="C32" s="127"/>
      <c r="D32" s="127"/>
      <c r="E32" s="127"/>
      <c r="F32" s="127"/>
      <c r="G32" s="193"/>
      <c r="H32" s="150"/>
      <c r="I32" s="216"/>
      <c r="J32" s="127"/>
      <c r="K32" s="218">
        <f>+K31/$G31*$D31</f>
        <v>0</v>
      </c>
      <c r="L32" s="218">
        <f t="shared" ref="L32:W32" si="89">+L31/$G31*$D31</f>
        <v>0</v>
      </c>
      <c r="M32" s="218">
        <f t="shared" si="89"/>
        <v>0</v>
      </c>
      <c r="N32" s="218">
        <f t="shared" si="89"/>
        <v>0</v>
      </c>
      <c r="O32" s="218">
        <f t="shared" si="89"/>
        <v>0</v>
      </c>
      <c r="P32" s="218">
        <f t="shared" si="89"/>
        <v>0</v>
      </c>
      <c r="Q32" s="218">
        <f t="shared" si="89"/>
        <v>0</v>
      </c>
      <c r="R32" s="218">
        <f t="shared" si="89"/>
        <v>0</v>
      </c>
      <c r="S32" s="218">
        <f t="shared" si="89"/>
        <v>0</v>
      </c>
      <c r="T32" s="218">
        <f t="shared" si="89"/>
        <v>0</v>
      </c>
      <c r="U32" s="218">
        <f t="shared" si="89"/>
        <v>8</v>
      </c>
      <c r="V32" s="218">
        <f t="shared" si="89"/>
        <v>0</v>
      </c>
      <c r="W32" s="218">
        <f t="shared" si="89"/>
        <v>0</v>
      </c>
      <c r="X32" s="218">
        <f t="shared" ref="X32" si="90">+X31/$G31*$D31</f>
        <v>0</v>
      </c>
      <c r="Y32" s="218">
        <f t="shared" ref="Y32" si="91">+Y31/$G31*$D31</f>
        <v>0</v>
      </c>
      <c r="Z32" s="218">
        <f t="shared" ref="Z32" si="92">+Z31/$G31*$D31</f>
        <v>0</v>
      </c>
      <c r="AA32" s="238"/>
      <c r="AB32" s="239"/>
      <c r="AC32" s="238"/>
      <c r="AD32" s="194"/>
    </row>
    <row r="33" ht="21" customHeight="1" spans="1:30">
      <c r="A33" s="124">
        <v>15</v>
      </c>
      <c r="B33" s="124" t="s">
        <v>131</v>
      </c>
      <c r="C33" s="124" t="s">
        <v>132</v>
      </c>
      <c r="D33" s="124"/>
      <c r="E33" s="124"/>
      <c r="F33" s="124"/>
      <c r="G33" s="192"/>
      <c r="H33" s="148">
        <v>3</v>
      </c>
      <c r="I33" s="219"/>
      <c r="J33" s="124">
        <v>80</v>
      </c>
      <c r="K33" s="214">
        <v>8</v>
      </c>
      <c r="L33" s="214">
        <v>8</v>
      </c>
      <c r="M33" s="214">
        <v>8</v>
      </c>
      <c r="N33" s="214">
        <v>8</v>
      </c>
      <c r="O33" s="215">
        <v>8</v>
      </c>
      <c r="P33" s="214"/>
      <c r="Q33" s="214"/>
      <c r="R33" s="214"/>
      <c r="S33" s="214">
        <v>8</v>
      </c>
      <c r="T33" s="214">
        <v>8</v>
      </c>
      <c r="U33" s="214">
        <v>8</v>
      </c>
      <c r="V33" s="215">
        <v>8</v>
      </c>
      <c r="W33" s="215"/>
      <c r="X33" s="214"/>
      <c r="Y33" s="214">
        <v>8</v>
      </c>
      <c r="Z33" s="248"/>
      <c r="AA33" s="240">
        <f>SUM(K33:Z33)</f>
        <v>80</v>
      </c>
      <c r="AB33" s="240">
        <f>SUM(K33:Z33)</f>
        <v>80</v>
      </c>
      <c r="AC33" s="249"/>
      <c r="AD33" s="194"/>
    </row>
    <row r="34" ht="21" customHeight="1" spans="1:30">
      <c r="A34" s="124">
        <v>16</v>
      </c>
      <c r="B34" s="195"/>
      <c r="C34" s="124" t="s">
        <v>133</v>
      </c>
      <c r="D34" s="124">
        <v>1</v>
      </c>
      <c r="E34" s="124" t="s">
        <v>129</v>
      </c>
      <c r="F34" s="124" t="s">
        <v>134</v>
      </c>
      <c r="G34" s="192">
        <v>3.69</v>
      </c>
      <c r="H34" s="148">
        <v>2.8</v>
      </c>
      <c r="I34" s="213">
        <f t="shared" ref="I34" si="93">+J34*D34/G34</f>
        <v>0</v>
      </c>
      <c r="J34" s="124"/>
      <c r="K34" s="214"/>
      <c r="L34" s="214"/>
      <c r="M34" s="214"/>
      <c r="N34" s="214"/>
      <c r="O34" s="215"/>
      <c r="P34" s="214"/>
      <c r="Q34" s="214"/>
      <c r="R34" s="214"/>
      <c r="S34" s="214"/>
      <c r="T34" s="214"/>
      <c r="U34" s="214"/>
      <c r="V34" s="215"/>
      <c r="W34" s="215"/>
      <c r="X34" s="214"/>
      <c r="Y34" s="214"/>
      <c r="Z34" s="248"/>
      <c r="AA34" s="237">
        <f>SUM(K34:Z34)</f>
        <v>0</v>
      </c>
      <c r="AB34" s="237">
        <f>SUM(K34:Z34)</f>
        <v>0</v>
      </c>
      <c r="AC34" s="237">
        <f>SUM(K35:Z35)</f>
        <v>0</v>
      </c>
      <c r="AD34" s="195"/>
    </row>
    <row r="35" ht="21" customHeight="1" spans="1:30">
      <c r="A35" s="194"/>
      <c r="B35" s="195"/>
      <c r="C35" s="127"/>
      <c r="D35" s="127"/>
      <c r="E35" s="127"/>
      <c r="F35" s="127"/>
      <c r="G35" s="193"/>
      <c r="H35" s="150"/>
      <c r="I35" s="220"/>
      <c r="J35" s="127"/>
      <c r="K35" s="218">
        <f>+K34/$G34*$D34</f>
        <v>0</v>
      </c>
      <c r="L35" s="218">
        <f t="shared" ref="L35:Z35" si="94">+L34/$G34*$D34</f>
        <v>0</v>
      </c>
      <c r="M35" s="218">
        <f t="shared" si="94"/>
        <v>0</v>
      </c>
      <c r="N35" s="218">
        <f t="shared" si="94"/>
        <v>0</v>
      </c>
      <c r="O35" s="218">
        <f t="shared" si="94"/>
        <v>0</v>
      </c>
      <c r="P35" s="218">
        <f t="shared" si="94"/>
        <v>0</v>
      </c>
      <c r="Q35" s="218">
        <f t="shared" si="94"/>
        <v>0</v>
      </c>
      <c r="R35" s="218">
        <f t="shared" si="94"/>
        <v>0</v>
      </c>
      <c r="S35" s="218">
        <f t="shared" si="94"/>
        <v>0</v>
      </c>
      <c r="T35" s="218">
        <f t="shared" si="94"/>
        <v>0</v>
      </c>
      <c r="U35" s="218">
        <f t="shared" si="94"/>
        <v>0</v>
      </c>
      <c r="V35" s="218">
        <f t="shared" si="94"/>
        <v>0</v>
      </c>
      <c r="W35" s="218">
        <f t="shared" si="94"/>
        <v>0</v>
      </c>
      <c r="X35" s="218">
        <f t="shared" si="94"/>
        <v>0</v>
      </c>
      <c r="Y35" s="218">
        <f t="shared" si="94"/>
        <v>0</v>
      </c>
      <c r="Z35" s="218">
        <f t="shared" si="94"/>
        <v>0</v>
      </c>
      <c r="AA35" s="238"/>
      <c r="AB35" s="239"/>
      <c r="AC35" s="238"/>
      <c r="AD35" s="195"/>
    </row>
    <row r="36" spans="1:30">
      <c r="A36" s="124"/>
      <c r="B36" s="195"/>
      <c r="C36" s="195" t="s">
        <v>135</v>
      </c>
      <c r="D36" s="195"/>
      <c r="E36" s="195"/>
      <c r="F36" s="195"/>
      <c r="G36" s="195"/>
      <c r="H36" s="195"/>
      <c r="I36" s="213">
        <f>SUM(I5:I35)</f>
        <v>8081.36883991872</v>
      </c>
      <c r="J36" s="221">
        <f>SUM(J5:J35)</f>
        <v>716</v>
      </c>
      <c r="K36" s="242">
        <f>+K5+K7+K9+K11+K13+K15+K17+K19+K21+K23+K25+K27+K29+K31+K34+K33</f>
        <v>64</v>
      </c>
      <c r="L36" s="242">
        <f t="shared" ref="L36:Z36" si="95">+L5+L7+L9+L11+L13+L15+L17+L19+L21+L23+L25+L27+L29+L31+L34+L33</f>
        <v>64</v>
      </c>
      <c r="M36" s="242">
        <f t="shared" si="95"/>
        <v>64</v>
      </c>
      <c r="N36" s="242">
        <f t="shared" ref="N36:O36" si="96">+N5+N7+N9+N11+N13+N15+N17+N19+N21+N23+N25+N27+N29+N31+N34+N33</f>
        <v>64</v>
      </c>
      <c r="O36" s="242">
        <f t="shared" si="96"/>
        <v>64</v>
      </c>
      <c r="P36" s="242">
        <f t="shared" si="95"/>
        <v>0</v>
      </c>
      <c r="Q36" s="242">
        <f t="shared" si="95"/>
        <v>0</v>
      </c>
      <c r="R36" s="242">
        <f t="shared" si="95"/>
        <v>0</v>
      </c>
      <c r="S36" s="242">
        <f t="shared" si="95"/>
        <v>72</v>
      </c>
      <c r="T36" s="242">
        <f t="shared" si="95"/>
        <v>56</v>
      </c>
      <c r="U36" s="242">
        <f t="shared" ref="U36:V36" si="97">+U5+U7+U9+U11+U13+U15+U17+U19+U21+U23+U25+U27+U29+U31+U34+U33</f>
        <v>88</v>
      </c>
      <c r="V36" s="242">
        <f t="shared" si="97"/>
        <v>72</v>
      </c>
      <c r="W36" s="242">
        <f t="shared" si="95"/>
        <v>0</v>
      </c>
      <c r="X36" s="242">
        <f t="shared" si="95"/>
        <v>0</v>
      </c>
      <c r="Y36" s="242">
        <f t="shared" si="95"/>
        <v>72</v>
      </c>
      <c r="Z36" s="242">
        <f t="shared" si="95"/>
        <v>0</v>
      </c>
      <c r="AA36" s="242">
        <f>SUM(K36:Z36)</f>
        <v>680</v>
      </c>
      <c r="AB36" s="242">
        <f>SUM(AB5:AB35)</f>
        <v>680</v>
      </c>
      <c r="AC36" s="242">
        <f>SUM(AC5:AC35)</f>
        <v>7507.51312707562</v>
      </c>
      <c r="AD36" s="195"/>
    </row>
    <row r="37" spans="1:30">
      <c r="A37" s="127"/>
      <c r="B37" s="195"/>
      <c r="C37" s="195"/>
      <c r="D37" s="195"/>
      <c r="E37" s="195"/>
      <c r="F37" s="195"/>
      <c r="G37" s="195"/>
      <c r="H37" s="195"/>
      <c r="I37" s="216"/>
      <c r="J37" s="221"/>
      <c r="K37" s="242"/>
      <c r="L37" s="242"/>
      <c r="M37" s="242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242"/>
      <c r="AA37" s="242"/>
      <c r="AB37" s="250"/>
      <c r="AC37" s="250"/>
      <c r="AD37" s="195"/>
    </row>
    <row r="38" ht="18.75" customHeight="1" spans="1:30">
      <c r="A38" s="196"/>
      <c r="B38" s="196"/>
      <c r="C38" s="195" t="s">
        <v>136</v>
      </c>
      <c r="D38" s="195"/>
      <c r="E38" s="195"/>
      <c r="F38" s="195"/>
      <c r="G38" s="195"/>
      <c r="H38" s="195"/>
      <c r="I38" s="195"/>
      <c r="J38" s="195"/>
      <c r="K38" s="222">
        <f>+'2-3 бетлар'!C41</f>
        <v>64</v>
      </c>
      <c r="L38" s="222">
        <f>+'2-3 бетлар'!D41</f>
        <v>64</v>
      </c>
      <c r="M38" s="223">
        <f>+'2-3 бетлар'!E41</f>
        <v>64</v>
      </c>
      <c r="N38" s="222">
        <f>+'2-3 бетлар'!F41</f>
        <v>64</v>
      </c>
      <c r="O38" s="222">
        <f>+'2-3 бетлар'!G41</f>
        <v>64</v>
      </c>
      <c r="P38" s="223">
        <f>+'2-3 бетлар'!H41</f>
        <v>0</v>
      </c>
      <c r="Q38" s="223">
        <f>+'2-3 бетлар'!I41</f>
        <v>0</v>
      </c>
      <c r="R38" s="222">
        <f>+'2-3 бетлар'!J41</f>
        <v>0</v>
      </c>
      <c r="S38" s="222">
        <f>+'2-3 бетлар'!K41</f>
        <v>72</v>
      </c>
      <c r="T38" s="223">
        <f>+'2-3 бетлар'!L41</f>
        <v>72</v>
      </c>
      <c r="U38" s="222">
        <f>+'2-3 бетлар'!M41</f>
        <v>72</v>
      </c>
      <c r="V38" s="222">
        <f>+'2-3 бетлар'!N41</f>
        <v>72</v>
      </c>
      <c r="W38" s="223">
        <f>+'2-3 бетлар'!O41</f>
        <v>0</v>
      </c>
      <c r="X38" s="223">
        <f>+'2-3 бетлар'!P41</f>
        <v>0</v>
      </c>
      <c r="Y38" s="222">
        <f>+'2-3 бетлар'!Q41</f>
        <v>72</v>
      </c>
      <c r="Z38" s="223">
        <f>+'2-3 бетлар'!R41</f>
        <v>0</v>
      </c>
      <c r="AA38" s="223">
        <f>+'2-3 бетлар'!S41</f>
        <v>680</v>
      </c>
      <c r="AB38" s="195"/>
      <c r="AC38" s="195"/>
      <c r="AD38" s="195"/>
    </row>
    <row r="39" ht="9" customHeight="1" spans="1:30">
      <c r="A39" s="245"/>
      <c r="B39" s="245"/>
      <c r="C39" s="245"/>
      <c r="D39" s="245"/>
      <c r="E39" s="245"/>
      <c r="F39" s="245"/>
      <c r="G39" s="245"/>
      <c r="H39" s="245"/>
      <c r="I39" s="245"/>
      <c r="J39" s="245"/>
      <c r="K39" s="247"/>
      <c r="L39" s="247"/>
      <c r="M39" s="247"/>
      <c r="N39" s="247"/>
      <c r="O39" s="247"/>
      <c r="P39" s="247"/>
      <c r="Q39" s="247"/>
      <c r="R39" s="247"/>
      <c r="S39" s="247"/>
      <c r="T39" s="247"/>
      <c r="U39" s="247"/>
      <c r="V39" s="247"/>
      <c r="W39" s="247"/>
      <c r="X39" s="247"/>
      <c r="Y39" s="247"/>
      <c r="Z39" s="247"/>
      <c r="AA39" s="251"/>
      <c r="AB39" s="245"/>
      <c r="AC39" s="245"/>
      <c r="AD39" s="245"/>
    </row>
    <row r="40" ht="31.5" customHeight="1" spans="2:30">
      <c r="B40" s="199" t="s">
        <v>137</v>
      </c>
      <c r="C40" s="199"/>
      <c r="D40" s="199"/>
      <c r="E40" s="199"/>
      <c r="F40" s="199"/>
      <c r="G40" s="199"/>
      <c r="H40" s="199"/>
      <c r="I40" s="199"/>
      <c r="K40" s="225" t="s">
        <v>138</v>
      </c>
      <c r="L40" s="225"/>
      <c r="M40" s="225"/>
      <c r="N40" s="225"/>
      <c r="O40" s="225"/>
      <c r="P40" s="225"/>
      <c r="Q40" s="225"/>
      <c r="R40" s="225"/>
      <c r="S40" s="225"/>
      <c r="T40" s="225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</row>
    <row r="41" spans="4:30">
      <c r="D41" s="200" t="s">
        <v>16</v>
      </c>
      <c r="E41" s="200"/>
      <c r="F41" s="200"/>
      <c r="G41" s="200"/>
      <c r="H41" s="200"/>
      <c r="R41" s="200" t="s">
        <v>16</v>
      </c>
      <c r="S41" s="200"/>
      <c r="T41" s="200"/>
      <c r="U41" s="200"/>
      <c r="AB41" s="244" t="s">
        <v>16</v>
      </c>
      <c r="AC41" s="244"/>
      <c r="AD41" s="244"/>
    </row>
    <row r="42" spans="1:19">
      <c r="A42" s="201" t="s">
        <v>139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25" t="s">
        <v>140</v>
      </c>
      <c r="L42" s="225"/>
      <c r="M42" s="225"/>
      <c r="N42" s="225"/>
      <c r="O42" s="225"/>
      <c r="P42" s="225"/>
      <c r="Q42" s="225"/>
      <c r="R42" s="225"/>
      <c r="S42" s="225"/>
    </row>
    <row r="43" spans="1:12">
      <c r="A43" s="202" t="s">
        <v>141</v>
      </c>
      <c r="B43" s="202"/>
      <c r="C43" s="202"/>
      <c r="D43" s="202"/>
      <c r="E43" s="202"/>
      <c r="F43" s="202"/>
      <c r="G43" s="202"/>
      <c r="H43" s="202"/>
      <c r="I43" s="202"/>
      <c r="J43" s="202"/>
      <c r="K43" s="199"/>
      <c r="L43" s="199"/>
    </row>
    <row r="44" spans="4:20">
      <c r="D44" s="199">
        <v>4</v>
      </c>
      <c r="E44" s="199"/>
      <c r="F44" s="199"/>
      <c r="T44" s="199">
        <v>5</v>
      </c>
    </row>
  </sheetData>
  <sheetProtection algorithmName="SHA-512" hashValue="bTS4PriQm0Fjjz20pez609tvvRyAStM0DeYAAS1TIZO0VQhkwJvTvWlVl5aVXHBc7X3B4W7tpUU3ge7DZZN0tQ==" saltValue="id4ojhsOgw7fx0eAEelCHA==" spinCount="100000" sheet="1" selectLockedCells="1"/>
  <mergeCells count="262">
    <mergeCell ref="C1:G1"/>
    <mergeCell ref="AA1:AB1"/>
    <mergeCell ref="I2:J2"/>
    <mergeCell ref="B40:I40"/>
    <mergeCell ref="K40:AD40"/>
    <mergeCell ref="D41:H41"/>
    <mergeCell ref="R41:U41"/>
    <mergeCell ref="AB41:AD41"/>
    <mergeCell ref="A42:J42"/>
    <mergeCell ref="K42:S42"/>
    <mergeCell ref="A43:J43"/>
    <mergeCell ref="K43:L43"/>
    <mergeCell ref="A2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4:A35"/>
    <mergeCell ref="A36:A37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4:B35"/>
    <mergeCell ref="B36:B37"/>
    <mergeCell ref="C2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4:C35"/>
    <mergeCell ref="C36:C37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4:D35"/>
    <mergeCell ref="D36:D37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4:E35"/>
    <mergeCell ref="E36:E37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4:F35"/>
    <mergeCell ref="F36:F37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4:G35"/>
    <mergeCell ref="G36:G37"/>
    <mergeCell ref="H2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4:H35"/>
    <mergeCell ref="H36:H37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6:I37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4:J35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2:AA3"/>
    <mergeCell ref="AA5:AA6"/>
    <mergeCell ref="AA7:AA8"/>
    <mergeCell ref="AA9:AA10"/>
    <mergeCell ref="AA11:AA12"/>
    <mergeCell ref="AA13:AA14"/>
    <mergeCell ref="AA15:AA16"/>
    <mergeCell ref="AA17:AA18"/>
    <mergeCell ref="AA19:AA20"/>
    <mergeCell ref="AA21:AA22"/>
    <mergeCell ref="AA23:AA24"/>
    <mergeCell ref="AA25:AA26"/>
    <mergeCell ref="AA27:AA28"/>
    <mergeCell ref="AA29:AA30"/>
    <mergeCell ref="AA31:AA32"/>
    <mergeCell ref="AA34:AA35"/>
    <mergeCell ref="AA36:AA37"/>
    <mergeCell ref="AB2:AB3"/>
    <mergeCell ref="AB5:AB6"/>
    <mergeCell ref="AB7:AB8"/>
    <mergeCell ref="AB9:AB10"/>
    <mergeCell ref="AB11:AB12"/>
    <mergeCell ref="AB13:AB14"/>
    <mergeCell ref="AB15:AB16"/>
    <mergeCell ref="AB17:AB18"/>
    <mergeCell ref="AB19:AB20"/>
    <mergeCell ref="AB21:AB22"/>
    <mergeCell ref="AB23:AB24"/>
    <mergeCell ref="AB25:AB26"/>
    <mergeCell ref="AB27:AB28"/>
    <mergeCell ref="AB29:AB30"/>
    <mergeCell ref="AB31:AB32"/>
    <mergeCell ref="AB34:AB35"/>
    <mergeCell ref="AB36:AB37"/>
    <mergeCell ref="AC2:AC3"/>
    <mergeCell ref="AC5:AC6"/>
    <mergeCell ref="AC7:AC8"/>
    <mergeCell ref="AC9:AC10"/>
    <mergeCell ref="AC11:AC12"/>
    <mergeCell ref="AC13:AC14"/>
    <mergeCell ref="AC15:AC16"/>
    <mergeCell ref="AC17:AC18"/>
    <mergeCell ref="AC19:AC20"/>
    <mergeCell ref="AC21:AC22"/>
    <mergeCell ref="AC23:AC24"/>
    <mergeCell ref="AC25:AC26"/>
    <mergeCell ref="AC27:AC28"/>
    <mergeCell ref="AC29:AC30"/>
    <mergeCell ref="AC31:AC32"/>
    <mergeCell ref="AC34:AC35"/>
    <mergeCell ref="AC36:AC37"/>
    <mergeCell ref="AD2:AD3"/>
    <mergeCell ref="AD5:AD6"/>
    <mergeCell ref="AD7:AD8"/>
    <mergeCell ref="AD9:AD10"/>
    <mergeCell ref="AD11:AD12"/>
    <mergeCell ref="AD13:AD14"/>
    <mergeCell ref="AD15:AD16"/>
    <mergeCell ref="AD17:AD18"/>
    <mergeCell ref="AD19:AD20"/>
    <mergeCell ref="AD21:AD22"/>
    <mergeCell ref="AD23:AD24"/>
    <mergeCell ref="AD25:AD26"/>
    <mergeCell ref="AD27:AD28"/>
    <mergeCell ref="AD34:AD35"/>
    <mergeCell ref="AD36:AD37"/>
    <mergeCell ref="K2:Z3"/>
    <mergeCell ref="D2:E4"/>
    <mergeCell ref="F2:G4"/>
  </mergeCells>
  <pageMargins left="0.708661417322835" right="0.58" top="0.275590551181102" bottom="0.26" header="0.25" footer="0.31496062992126"/>
  <pageSetup paperSize="9" scale="9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4"/>
  <dimension ref="A1:AD44"/>
  <sheetViews>
    <sheetView tabSelected="1" topLeftCell="A21" workbookViewId="0">
      <selection activeCell="Y36" sqref="Y36"/>
    </sheetView>
  </sheetViews>
  <sheetFormatPr defaultColWidth="9" defaultRowHeight="14.4"/>
  <cols>
    <col min="1" max="1" width="3.28703703703704" customWidth="1"/>
    <col min="2" max="2" width="23.287037037037" customWidth="1"/>
    <col min="3" max="3" width="28.712962962963" customWidth="1"/>
    <col min="4" max="4" width="5.13888888888889" customWidth="1"/>
    <col min="5" max="5" width="6.13888888888889" customWidth="1"/>
    <col min="6" max="6" width="4.42592592592593" customWidth="1"/>
    <col min="7" max="7" width="5.57407407407407" customWidth="1"/>
    <col min="8" max="8" width="5.13888888888889" customWidth="1"/>
    <col min="9" max="9" width="6.85185185185185" customWidth="1"/>
    <col min="10" max="10" width="6.57407407407407" customWidth="1"/>
    <col min="11" max="26" width="4.13888888888889" customWidth="1"/>
    <col min="27" max="27" width="6.42592592592593" customWidth="1"/>
    <col min="28" max="28" width="7.13888888888889" customWidth="1"/>
    <col min="29" max="29" width="7.57407407407407" customWidth="1"/>
    <col min="30" max="30" width="6.13888888888889" customWidth="1"/>
  </cols>
  <sheetData>
    <row r="1" ht="17.25" customHeight="1" spans="1:30">
      <c r="A1" s="108"/>
      <c r="B1" s="108"/>
      <c r="C1" s="179" t="s">
        <v>70</v>
      </c>
      <c r="D1" s="179"/>
      <c r="E1" s="179"/>
      <c r="F1" s="179"/>
      <c r="G1" s="179"/>
      <c r="H1" s="108"/>
      <c r="I1" s="108"/>
      <c r="J1" s="108"/>
      <c r="K1" s="203" t="s">
        <v>142</v>
      </c>
      <c r="L1" s="204"/>
      <c r="M1" s="204"/>
      <c r="N1" s="204"/>
      <c r="O1" s="204"/>
      <c r="P1" s="204"/>
      <c r="Q1" s="204"/>
      <c r="R1" s="204"/>
      <c r="S1" s="204"/>
      <c r="T1" s="204" t="s">
        <v>72</v>
      </c>
      <c r="U1" s="204"/>
      <c r="V1" s="204"/>
      <c r="W1" s="204"/>
      <c r="X1" s="204"/>
      <c r="Y1" s="204"/>
      <c r="Z1" s="226"/>
      <c r="AA1" s="227" t="s">
        <v>73</v>
      </c>
      <c r="AB1" s="228"/>
      <c r="AC1" s="229"/>
      <c r="AD1" s="229"/>
    </row>
    <row r="2" ht="50.25" customHeight="1" spans="1:30">
      <c r="A2" s="180" t="s">
        <v>74</v>
      </c>
      <c r="B2" s="181" t="s">
        <v>75</v>
      </c>
      <c r="C2" s="181" t="s">
        <v>76</v>
      </c>
      <c r="D2" s="182" t="s">
        <v>77</v>
      </c>
      <c r="E2" s="183"/>
      <c r="F2" s="182" t="s">
        <v>78</v>
      </c>
      <c r="G2" s="183"/>
      <c r="H2" s="180" t="s">
        <v>79</v>
      </c>
      <c r="I2" s="205" t="s">
        <v>80</v>
      </c>
      <c r="J2" s="206"/>
      <c r="K2" s="207" t="s">
        <v>81</v>
      </c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30"/>
      <c r="AA2" s="231" t="s">
        <v>82</v>
      </c>
      <c r="AB2" s="231" t="s">
        <v>83</v>
      </c>
      <c r="AC2" s="231" t="s">
        <v>84</v>
      </c>
      <c r="AD2" s="232" t="s">
        <v>85</v>
      </c>
    </row>
    <row r="3" ht="52.5" customHeight="1" spans="1:30">
      <c r="A3" s="184"/>
      <c r="B3" s="185"/>
      <c r="C3" s="185"/>
      <c r="D3" s="186"/>
      <c r="E3" s="187"/>
      <c r="F3" s="186"/>
      <c r="G3" s="187"/>
      <c r="H3" s="184"/>
      <c r="I3" s="180" t="s">
        <v>86</v>
      </c>
      <c r="J3" s="180" t="s">
        <v>87</v>
      </c>
      <c r="K3" s="209"/>
      <c r="L3" s="210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33"/>
      <c r="AA3" s="234"/>
      <c r="AB3" s="234"/>
      <c r="AC3" s="234"/>
      <c r="AD3" s="235"/>
    </row>
    <row r="4" ht="19.5" customHeight="1" spans="1:30">
      <c r="A4" s="188"/>
      <c r="B4" s="189"/>
      <c r="C4" s="189"/>
      <c r="D4" s="190"/>
      <c r="E4" s="191"/>
      <c r="F4" s="190"/>
      <c r="G4" s="191"/>
      <c r="H4" s="188"/>
      <c r="I4" s="188"/>
      <c r="J4" s="188"/>
      <c r="K4" s="211">
        <v>16</v>
      </c>
      <c r="L4" s="211">
        <v>17</v>
      </c>
      <c r="M4" s="211">
        <v>18</v>
      </c>
      <c r="N4" s="211">
        <v>19</v>
      </c>
      <c r="O4" s="212">
        <v>20</v>
      </c>
      <c r="P4" s="212">
        <v>21</v>
      </c>
      <c r="Q4" s="211">
        <v>22</v>
      </c>
      <c r="R4" s="211">
        <v>23</v>
      </c>
      <c r="S4" s="211">
        <v>24</v>
      </c>
      <c r="T4" s="211">
        <v>25</v>
      </c>
      <c r="U4" s="211">
        <v>26</v>
      </c>
      <c r="V4" s="212">
        <v>27</v>
      </c>
      <c r="W4" s="212">
        <v>28</v>
      </c>
      <c r="X4" s="211">
        <v>29</v>
      </c>
      <c r="Y4" s="211">
        <v>30</v>
      </c>
      <c r="Z4" s="211">
        <v>31</v>
      </c>
      <c r="AA4" s="236"/>
      <c r="AB4" s="236"/>
      <c r="AC4" s="236"/>
      <c r="AD4" s="236"/>
    </row>
    <row r="5" ht="18.75" customHeight="1" spans="1:30">
      <c r="A5" s="124">
        <v>1</v>
      </c>
      <c r="B5" s="124"/>
      <c r="C5" s="124" t="s">
        <v>88</v>
      </c>
      <c r="D5" s="124">
        <v>10</v>
      </c>
      <c r="E5" s="124" t="s">
        <v>89</v>
      </c>
      <c r="F5" s="124" t="s">
        <v>90</v>
      </c>
      <c r="G5" s="192">
        <v>1.55</v>
      </c>
      <c r="H5" s="124">
        <v>4</v>
      </c>
      <c r="I5" s="213">
        <f>+J5*D5/G5</f>
        <v>0</v>
      </c>
      <c r="J5" s="124"/>
      <c r="K5" s="211"/>
      <c r="L5" s="211"/>
      <c r="M5" s="214"/>
      <c r="N5" s="214"/>
      <c r="O5" s="215"/>
      <c r="P5" s="214"/>
      <c r="Q5" s="214"/>
      <c r="R5" s="211"/>
      <c r="S5" s="211"/>
      <c r="T5" s="214"/>
      <c r="U5" s="215"/>
      <c r="V5" s="215"/>
      <c r="W5" s="214"/>
      <c r="X5" s="214"/>
      <c r="Y5" s="211"/>
      <c r="Z5" s="211"/>
      <c r="AA5" s="237">
        <f>SUM(K5:Z5)</f>
        <v>0</v>
      </c>
      <c r="AB5" s="237">
        <f>SUM(K5:Z5)</f>
        <v>0</v>
      </c>
      <c r="AC5" s="237">
        <f>SUM(K6:Z6)</f>
        <v>0</v>
      </c>
      <c r="AD5" s="124"/>
    </row>
    <row r="6" ht="18.75" customHeight="1" spans="1:30">
      <c r="A6" s="127"/>
      <c r="B6" s="127"/>
      <c r="C6" s="127"/>
      <c r="D6" s="127"/>
      <c r="E6" s="127"/>
      <c r="F6" s="127"/>
      <c r="G6" s="193"/>
      <c r="H6" s="127"/>
      <c r="I6" s="216"/>
      <c r="J6" s="127"/>
      <c r="K6" s="217">
        <f>+K5/$G5*$D5</f>
        <v>0</v>
      </c>
      <c r="L6" s="217">
        <f t="shared" ref="L6:X32" si="0">+L5/$G5*$D5</f>
        <v>0</v>
      </c>
      <c r="M6" s="217">
        <f t="shared" si="0"/>
        <v>0</v>
      </c>
      <c r="N6" s="217">
        <f t="shared" si="0"/>
        <v>0</v>
      </c>
      <c r="O6" s="218">
        <f t="shared" ref="O6:Q6" si="1">+O5/$G5*$D5</f>
        <v>0</v>
      </c>
      <c r="P6" s="218">
        <f t="shared" si="1"/>
        <v>0</v>
      </c>
      <c r="Q6" s="218">
        <f t="shared" si="1"/>
        <v>0</v>
      </c>
      <c r="R6" s="217">
        <f t="shared" si="0"/>
        <v>0</v>
      </c>
      <c r="S6" s="217">
        <f t="shared" si="0"/>
        <v>0</v>
      </c>
      <c r="T6" s="217">
        <f t="shared" si="0"/>
        <v>0</v>
      </c>
      <c r="U6" s="217">
        <f t="shared" si="0"/>
        <v>0</v>
      </c>
      <c r="V6" s="218">
        <f t="shared" si="0"/>
        <v>0</v>
      </c>
      <c r="W6" s="218">
        <f t="shared" si="0"/>
        <v>0</v>
      </c>
      <c r="X6" s="218">
        <f t="shared" si="0"/>
        <v>0</v>
      </c>
      <c r="Y6" s="217">
        <f t="shared" ref="Y6:Z32" si="2">+Y5/$G5*$D5</f>
        <v>0</v>
      </c>
      <c r="Z6" s="217">
        <f t="shared" si="2"/>
        <v>0</v>
      </c>
      <c r="AA6" s="238"/>
      <c r="AB6" s="239"/>
      <c r="AC6" s="238"/>
      <c r="AD6" s="127"/>
    </row>
    <row r="7" ht="18.75" customHeight="1" spans="1:30">
      <c r="A7" s="124">
        <v>2</v>
      </c>
      <c r="B7" s="124" t="s">
        <v>91</v>
      </c>
      <c r="C7" s="124" t="s">
        <v>92</v>
      </c>
      <c r="D7" s="124">
        <v>10</v>
      </c>
      <c r="E7" s="124" t="s">
        <v>93</v>
      </c>
      <c r="F7" s="124" t="s">
        <v>94</v>
      </c>
      <c r="G7" s="192">
        <v>0.948</v>
      </c>
      <c r="H7" s="124">
        <v>4</v>
      </c>
      <c r="I7" s="213">
        <f t="shared" ref="I7" si="3">+J7*D7/G7</f>
        <v>3270.04219409283</v>
      </c>
      <c r="J7" s="124">
        <v>310</v>
      </c>
      <c r="K7" s="211">
        <v>28</v>
      </c>
      <c r="L7" s="211">
        <v>28</v>
      </c>
      <c r="M7" s="214">
        <v>28</v>
      </c>
      <c r="N7" s="214">
        <v>28</v>
      </c>
      <c r="O7" s="215"/>
      <c r="P7" s="214"/>
      <c r="Q7" s="214">
        <v>28</v>
      </c>
      <c r="R7" s="211">
        <v>28</v>
      </c>
      <c r="S7" s="211">
        <v>28</v>
      </c>
      <c r="T7" s="214">
        <v>28</v>
      </c>
      <c r="U7" s="215">
        <v>28</v>
      </c>
      <c r="V7" s="215"/>
      <c r="W7" s="214"/>
      <c r="X7" s="214">
        <v>28</v>
      </c>
      <c r="Y7" s="211">
        <v>28</v>
      </c>
      <c r="Z7" s="211"/>
      <c r="AA7" s="237">
        <f t="shared" ref="AA7" si="4">SUM(K7:Z7)</f>
        <v>308</v>
      </c>
      <c r="AB7" s="237">
        <f t="shared" ref="AB7" si="5">SUM(K7:Z7)</f>
        <v>308</v>
      </c>
      <c r="AC7" s="237">
        <f t="shared" ref="AC7" si="6">SUM(K8:Z8)</f>
        <v>3248.94514767933</v>
      </c>
      <c r="AD7" s="124"/>
    </row>
    <row r="8" ht="18.75" customHeight="1" spans="1:30">
      <c r="A8" s="127"/>
      <c r="B8" s="127"/>
      <c r="C8" s="127"/>
      <c r="D8" s="127"/>
      <c r="E8" s="127"/>
      <c r="F8" s="127"/>
      <c r="G8" s="193"/>
      <c r="H8" s="127"/>
      <c r="I8" s="216"/>
      <c r="J8" s="127"/>
      <c r="K8" s="217">
        <f>+K7/$G7*$D7</f>
        <v>295.35864978903</v>
      </c>
      <c r="L8" s="217">
        <f t="shared" ref="L8:N8" si="7">+L7/$G7*$D7</f>
        <v>295.35864978903</v>
      </c>
      <c r="M8" s="217">
        <f t="shared" si="7"/>
        <v>295.35864978903</v>
      </c>
      <c r="N8" s="217">
        <f t="shared" si="7"/>
        <v>295.35864978903</v>
      </c>
      <c r="O8" s="218">
        <f t="shared" ref="O8:Q8" si="8">+O7/$G7*$D7</f>
        <v>0</v>
      </c>
      <c r="P8" s="218">
        <f t="shared" si="8"/>
        <v>0</v>
      </c>
      <c r="Q8" s="218">
        <f t="shared" si="8"/>
        <v>295.35864978903</v>
      </c>
      <c r="R8" s="217">
        <f t="shared" ref="R8:X8" si="9">+R7/$G7*$D7</f>
        <v>295.35864978903</v>
      </c>
      <c r="S8" s="217">
        <f t="shared" si="9"/>
        <v>295.35864978903</v>
      </c>
      <c r="T8" s="217">
        <f t="shared" si="9"/>
        <v>295.35864978903</v>
      </c>
      <c r="U8" s="217">
        <f t="shared" si="9"/>
        <v>295.35864978903</v>
      </c>
      <c r="V8" s="217">
        <f t="shared" si="9"/>
        <v>0</v>
      </c>
      <c r="W8" s="218">
        <f t="shared" si="9"/>
        <v>0</v>
      </c>
      <c r="X8" s="218">
        <f t="shared" si="0"/>
        <v>295.35864978903</v>
      </c>
      <c r="Y8" s="217">
        <f t="shared" si="2"/>
        <v>295.35864978903</v>
      </c>
      <c r="Z8" s="217">
        <f t="shared" si="2"/>
        <v>0</v>
      </c>
      <c r="AA8" s="238"/>
      <c r="AB8" s="239"/>
      <c r="AC8" s="238"/>
      <c r="AD8" s="127"/>
    </row>
    <row r="9" ht="18.75" customHeight="1" spans="1:30">
      <c r="A9" s="124">
        <v>3</v>
      </c>
      <c r="B9" s="124" t="s">
        <v>91</v>
      </c>
      <c r="C9" s="124" t="s">
        <v>95</v>
      </c>
      <c r="D9" s="124">
        <v>10</v>
      </c>
      <c r="E9" s="124" t="s">
        <v>96</v>
      </c>
      <c r="F9" s="124" t="s">
        <v>97</v>
      </c>
      <c r="G9" s="192">
        <v>0.558</v>
      </c>
      <c r="H9" s="124">
        <v>4</v>
      </c>
      <c r="I9" s="213">
        <f t="shared" ref="I9:I31" si="10">+J9*D9/G9</f>
        <v>2508.9605734767</v>
      </c>
      <c r="J9" s="124">
        <v>140</v>
      </c>
      <c r="K9" s="211">
        <v>12</v>
      </c>
      <c r="L9" s="211">
        <v>12</v>
      </c>
      <c r="M9" s="214">
        <v>12</v>
      </c>
      <c r="N9" s="214">
        <v>12</v>
      </c>
      <c r="O9" s="215"/>
      <c r="P9" s="214"/>
      <c r="Q9" s="214">
        <v>12</v>
      </c>
      <c r="R9" s="211">
        <v>12</v>
      </c>
      <c r="S9" s="211">
        <v>12</v>
      </c>
      <c r="T9" s="214">
        <v>12</v>
      </c>
      <c r="U9" s="215">
        <v>12</v>
      </c>
      <c r="V9" s="215"/>
      <c r="W9" s="214"/>
      <c r="X9" s="214">
        <v>12</v>
      </c>
      <c r="Y9" s="211">
        <v>12</v>
      </c>
      <c r="Z9" s="211"/>
      <c r="AA9" s="237">
        <f t="shared" ref="AA9" si="11">SUM(K9:Z9)</f>
        <v>132</v>
      </c>
      <c r="AB9" s="237">
        <f t="shared" ref="AB9" si="12">SUM(K9:Z9)</f>
        <v>132</v>
      </c>
      <c r="AC9" s="237">
        <f t="shared" ref="AC9" si="13">SUM(K10:Z10)</f>
        <v>2365.59139784946</v>
      </c>
      <c r="AD9" s="124"/>
    </row>
    <row r="10" ht="18.75" customHeight="1" spans="1:30">
      <c r="A10" s="127"/>
      <c r="B10" s="127"/>
      <c r="C10" s="127"/>
      <c r="D10" s="127"/>
      <c r="E10" s="127"/>
      <c r="F10" s="127"/>
      <c r="G10" s="193"/>
      <c r="H10" s="127"/>
      <c r="I10" s="216"/>
      <c r="J10" s="127"/>
      <c r="K10" s="217">
        <f>+K9/$G9*$D9</f>
        <v>215.05376344086</v>
      </c>
      <c r="L10" s="217">
        <f t="shared" ref="L10:O10" si="14">+L9/$G9*$D9</f>
        <v>215.05376344086</v>
      </c>
      <c r="M10" s="217">
        <f t="shared" si="14"/>
        <v>215.05376344086</v>
      </c>
      <c r="N10" s="217">
        <f t="shared" si="14"/>
        <v>215.05376344086</v>
      </c>
      <c r="O10" s="217">
        <f t="shared" si="14"/>
        <v>0</v>
      </c>
      <c r="P10" s="218">
        <f t="shared" ref="P10:Q10" si="15">+P9/$G9*$D9</f>
        <v>0</v>
      </c>
      <c r="Q10" s="218">
        <f t="shared" si="15"/>
        <v>215.05376344086</v>
      </c>
      <c r="R10" s="217">
        <f t="shared" ref="R10:X10" si="16">+R9/$G9*$D9</f>
        <v>215.05376344086</v>
      </c>
      <c r="S10" s="217">
        <f t="shared" si="16"/>
        <v>215.05376344086</v>
      </c>
      <c r="T10" s="217">
        <f t="shared" si="16"/>
        <v>215.05376344086</v>
      </c>
      <c r="U10" s="217">
        <f t="shared" si="16"/>
        <v>215.05376344086</v>
      </c>
      <c r="V10" s="217">
        <f t="shared" si="16"/>
        <v>0</v>
      </c>
      <c r="W10" s="218">
        <f t="shared" si="16"/>
        <v>0</v>
      </c>
      <c r="X10" s="218">
        <f t="shared" si="0"/>
        <v>215.05376344086</v>
      </c>
      <c r="Y10" s="217">
        <f t="shared" si="2"/>
        <v>215.05376344086</v>
      </c>
      <c r="Z10" s="217">
        <f t="shared" si="2"/>
        <v>0</v>
      </c>
      <c r="AA10" s="238"/>
      <c r="AB10" s="239"/>
      <c r="AC10" s="238"/>
      <c r="AD10" s="127"/>
    </row>
    <row r="11" ht="18.75" customHeight="1" spans="1:30">
      <c r="A11" s="124">
        <v>4</v>
      </c>
      <c r="B11" s="124"/>
      <c r="C11" s="124" t="s">
        <v>98</v>
      </c>
      <c r="D11" s="124">
        <v>10</v>
      </c>
      <c r="E11" s="124" t="s">
        <v>99</v>
      </c>
      <c r="F11" s="124" t="s">
        <v>100</v>
      </c>
      <c r="G11" s="192">
        <v>2.25</v>
      </c>
      <c r="H11" s="124">
        <v>3</v>
      </c>
      <c r="I11" s="213">
        <f t="shared" si="10"/>
        <v>0</v>
      </c>
      <c r="J11" s="124"/>
      <c r="K11" s="211"/>
      <c r="L11" s="211"/>
      <c r="M11" s="214"/>
      <c r="N11" s="214"/>
      <c r="O11" s="215"/>
      <c r="P11" s="214"/>
      <c r="Q11" s="214"/>
      <c r="R11" s="211"/>
      <c r="S11" s="211"/>
      <c r="T11" s="214"/>
      <c r="U11" s="215"/>
      <c r="V11" s="215"/>
      <c r="W11" s="214"/>
      <c r="X11" s="214"/>
      <c r="Y11" s="211"/>
      <c r="Z11" s="211"/>
      <c r="AA11" s="237">
        <f t="shared" ref="AA11" si="17">SUM(K11:Z11)</f>
        <v>0</v>
      </c>
      <c r="AB11" s="237">
        <f t="shared" ref="AB11" si="18">SUM(K11:Z11)</f>
        <v>0</v>
      </c>
      <c r="AC11" s="237">
        <f t="shared" ref="AC11" si="19">SUM(K12:Z12)</f>
        <v>0</v>
      </c>
      <c r="AD11" s="124"/>
    </row>
    <row r="12" ht="18.75" customHeight="1" spans="1:30">
      <c r="A12" s="127"/>
      <c r="B12" s="127"/>
      <c r="C12" s="127"/>
      <c r="D12" s="127"/>
      <c r="E12" s="127"/>
      <c r="F12" s="127"/>
      <c r="G12" s="193"/>
      <c r="H12" s="127"/>
      <c r="I12" s="216"/>
      <c r="J12" s="127"/>
      <c r="K12" s="217">
        <f>+K11/$G11*$D11</f>
        <v>0</v>
      </c>
      <c r="L12" s="217">
        <f t="shared" ref="L12:P12" si="20">+L11/$G11*$D11</f>
        <v>0</v>
      </c>
      <c r="M12" s="217">
        <f t="shared" si="20"/>
        <v>0</v>
      </c>
      <c r="N12" s="217">
        <f t="shared" si="20"/>
        <v>0</v>
      </c>
      <c r="O12" s="217">
        <f t="shared" si="20"/>
        <v>0</v>
      </c>
      <c r="P12" s="217">
        <f t="shared" si="20"/>
        <v>0</v>
      </c>
      <c r="Q12" s="218">
        <f t="shared" ref="Q12" si="21">+Q11/$G11*$D11</f>
        <v>0</v>
      </c>
      <c r="R12" s="217">
        <f t="shared" ref="R12:X12" si="22">+R11/$G11*$D11</f>
        <v>0</v>
      </c>
      <c r="S12" s="217">
        <f t="shared" si="22"/>
        <v>0</v>
      </c>
      <c r="T12" s="217">
        <f t="shared" si="22"/>
        <v>0</v>
      </c>
      <c r="U12" s="217">
        <f t="shared" si="22"/>
        <v>0</v>
      </c>
      <c r="V12" s="217">
        <f t="shared" si="22"/>
        <v>0</v>
      </c>
      <c r="W12" s="218">
        <f t="shared" si="22"/>
        <v>0</v>
      </c>
      <c r="X12" s="218">
        <f t="shared" si="0"/>
        <v>0</v>
      </c>
      <c r="Y12" s="217">
        <f t="shared" si="2"/>
        <v>0</v>
      </c>
      <c r="Z12" s="217">
        <f t="shared" si="2"/>
        <v>0</v>
      </c>
      <c r="AA12" s="238"/>
      <c r="AB12" s="239"/>
      <c r="AC12" s="238"/>
      <c r="AD12" s="127"/>
    </row>
    <row r="13" ht="18.75" customHeight="1" spans="1:30">
      <c r="A13" s="124">
        <v>5</v>
      </c>
      <c r="B13" s="124"/>
      <c r="C13" s="124" t="s">
        <v>101</v>
      </c>
      <c r="D13" s="124">
        <v>1</v>
      </c>
      <c r="E13" s="124" t="s">
        <v>102</v>
      </c>
      <c r="F13" s="124" t="s">
        <v>103</v>
      </c>
      <c r="G13" s="192">
        <v>0.795</v>
      </c>
      <c r="H13" s="124">
        <v>3</v>
      </c>
      <c r="I13" s="213">
        <f t="shared" si="10"/>
        <v>0</v>
      </c>
      <c r="J13" s="124"/>
      <c r="K13" s="211"/>
      <c r="L13" s="211"/>
      <c r="M13" s="214"/>
      <c r="N13" s="214"/>
      <c r="O13" s="215"/>
      <c r="P13" s="214"/>
      <c r="Q13" s="214"/>
      <c r="R13" s="211"/>
      <c r="S13" s="211"/>
      <c r="T13" s="214"/>
      <c r="U13" s="215"/>
      <c r="V13" s="215"/>
      <c r="W13" s="214"/>
      <c r="X13" s="214"/>
      <c r="Y13" s="211"/>
      <c r="Z13" s="211"/>
      <c r="AA13" s="237">
        <f t="shared" ref="AA13" si="23">SUM(K13:Z13)</f>
        <v>0</v>
      </c>
      <c r="AB13" s="237">
        <f t="shared" ref="AB13" si="24">SUM(K13:Z13)</f>
        <v>0</v>
      </c>
      <c r="AC13" s="237">
        <f t="shared" ref="AC13" si="25">SUM(K14:Z14)</f>
        <v>0</v>
      </c>
      <c r="AD13" s="124"/>
    </row>
    <row r="14" ht="18.75" customHeight="1" spans="1:30">
      <c r="A14" s="127"/>
      <c r="B14" s="127"/>
      <c r="C14" s="127"/>
      <c r="D14" s="127"/>
      <c r="E14" s="127"/>
      <c r="F14" s="127"/>
      <c r="G14" s="193"/>
      <c r="H14" s="127"/>
      <c r="I14" s="216"/>
      <c r="J14" s="127"/>
      <c r="K14" s="217">
        <f>+K13/$G13*$D13</f>
        <v>0</v>
      </c>
      <c r="L14" s="217">
        <f t="shared" ref="L14:O14" si="26">+L13/$G13*$D13</f>
        <v>0</v>
      </c>
      <c r="M14" s="217">
        <f t="shared" si="26"/>
        <v>0</v>
      </c>
      <c r="N14" s="217">
        <f t="shared" si="26"/>
        <v>0</v>
      </c>
      <c r="O14" s="217">
        <f t="shared" si="26"/>
        <v>0</v>
      </c>
      <c r="P14" s="218">
        <f t="shared" ref="P14:Q14" si="27">+P13/$G13*$D13</f>
        <v>0</v>
      </c>
      <c r="Q14" s="218">
        <f t="shared" si="27"/>
        <v>0</v>
      </c>
      <c r="R14" s="217">
        <f t="shared" ref="R14:S14" si="28">+R13/$G13*$D13</f>
        <v>0</v>
      </c>
      <c r="S14" s="217">
        <f t="shared" si="28"/>
        <v>0</v>
      </c>
      <c r="T14" s="217">
        <f t="shared" ref="T14:V14" si="29">+T13/$G13*$D13</f>
        <v>0</v>
      </c>
      <c r="U14" s="217">
        <f t="shared" si="29"/>
        <v>0</v>
      </c>
      <c r="V14" s="217">
        <f t="shared" si="29"/>
        <v>0</v>
      </c>
      <c r="W14" s="218">
        <f t="shared" ref="W14:X14" si="30">+W13/$G13*$D13</f>
        <v>0</v>
      </c>
      <c r="X14" s="218">
        <f t="shared" si="0"/>
        <v>0</v>
      </c>
      <c r="Y14" s="217">
        <f t="shared" si="2"/>
        <v>0</v>
      </c>
      <c r="Z14" s="217">
        <f t="shared" si="2"/>
        <v>0</v>
      </c>
      <c r="AA14" s="238"/>
      <c r="AB14" s="239"/>
      <c r="AC14" s="238"/>
      <c r="AD14" s="127"/>
    </row>
    <row r="15" ht="18.75" customHeight="1" spans="1:30">
      <c r="A15" s="124">
        <v>6</v>
      </c>
      <c r="B15" s="124"/>
      <c r="C15" s="124" t="s">
        <v>104</v>
      </c>
      <c r="D15" s="124">
        <v>1</v>
      </c>
      <c r="E15" s="124" t="s">
        <v>105</v>
      </c>
      <c r="F15" s="124" t="s">
        <v>106</v>
      </c>
      <c r="G15" s="192">
        <v>2.42</v>
      </c>
      <c r="H15" s="124">
        <v>3</v>
      </c>
      <c r="I15" s="213">
        <f t="shared" si="10"/>
        <v>0</v>
      </c>
      <c r="J15" s="124"/>
      <c r="K15" s="211"/>
      <c r="L15" s="211"/>
      <c r="M15" s="214"/>
      <c r="N15" s="214"/>
      <c r="O15" s="215"/>
      <c r="P15" s="214"/>
      <c r="Q15" s="214"/>
      <c r="R15" s="211"/>
      <c r="S15" s="211"/>
      <c r="T15" s="214"/>
      <c r="U15" s="215"/>
      <c r="V15" s="215"/>
      <c r="W15" s="214"/>
      <c r="X15" s="214"/>
      <c r="Y15" s="211"/>
      <c r="Z15" s="211"/>
      <c r="AA15" s="237">
        <f t="shared" ref="AA15" si="31">SUM(K15:Z15)</f>
        <v>0</v>
      </c>
      <c r="AB15" s="237">
        <f t="shared" ref="AB15" si="32">SUM(K15:Z15)</f>
        <v>0</v>
      </c>
      <c r="AC15" s="237">
        <f t="shared" ref="AC15" si="33">SUM(K16:Z16)</f>
        <v>0</v>
      </c>
      <c r="AD15" s="124"/>
    </row>
    <row r="16" ht="18.75" customHeight="1" spans="1:30">
      <c r="A16" s="127"/>
      <c r="B16" s="127"/>
      <c r="C16" s="127"/>
      <c r="D16" s="127"/>
      <c r="E16" s="127"/>
      <c r="F16" s="127"/>
      <c r="G16" s="193"/>
      <c r="H16" s="127"/>
      <c r="I16" s="216"/>
      <c r="J16" s="127"/>
      <c r="K16" s="217">
        <f>+K15/$G15*$D15</f>
        <v>0</v>
      </c>
      <c r="L16" s="217">
        <f t="shared" ref="L16:N16" si="34">+L15/$G15*$D15</f>
        <v>0</v>
      </c>
      <c r="M16" s="217">
        <f t="shared" si="34"/>
        <v>0</v>
      </c>
      <c r="N16" s="217">
        <f t="shared" si="34"/>
        <v>0</v>
      </c>
      <c r="O16" s="218">
        <f t="shared" ref="O16:Q16" si="35">+O15/$G15*$D15</f>
        <v>0</v>
      </c>
      <c r="P16" s="218">
        <f t="shared" si="35"/>
        <v>0</v>
      </c>
      <c r="Q16" s="218">
        <f t="shared" si="35"/>
        <v>0</v>
      </c>
      <c r="R16" s="217">
        <f t="shared" ref="R16:X16" si="36">+R15/$G15*$D15</f>
        <v>0</v>
      </c>
      <c r="S16" s="217">
        <f t="shared" si="36"/>
        <v>0</v>
      </c>
      <c r="T16" s="217">
        <f t="shared" si="36"/>
        <v>0</v>
      </c>
      <c r="U16" s="217">
        <f t="shared" si="36"/>
        <v>0</v>
      </c>
      <c r="V16" s="218">
        <f t="shared" si="36"/>
        <v>0</v>
      </c>
      <c r="W16" s="218">
        <f t="shared" si="36"/>
        <v>0</v>
      </c>
      <c r="X16" s="218">
        <f t="shared" si="0"/>
        <v>0</v>
      </c>
      <c r="Y16" s="217">
        <f t="shared" si="2"/>
        <v>0</v>
      </c>
      <c r="Z16" s="217">
        <f t="shared" si="2"/>
        <v>0</v>
      </c>
      <c r="AA16" s="238"/>
      <c r="AB16" s="239"/>
      <c r="AC16" s="238"/>
      <c r="AD16" s="127"/>
    </row>
    <row r="17" ht="18.75" customHeight="1" spans="1:30">
      <c r="A17" s="124">
        <v>7</v>
      </c>
      <c r="B17" s="124"/>
      <c r="C17" s="124" t="s">
        <v>107</v>
      </c>
      <c r="D17" s="124">
        <v>10</v>
      </c>
      <c r="E17" s="124" t="s">
        <v>108</v>
      </c>
      <c r="F17" s="124" t="s">
        <v>109</v>
      </c>
      <c r="G17" s="192">
        <v>1.57</v>
      </c>
      <c r="H17" s="124">
        <v>5</v>
      </c>
      <c r="I17" s="213">
        <f t="shared" si="10"/>
        <v>0</v>
      </c>
      <c r="J17" s="124"/>
      <c r="K17" s="211"/>
      <c r="L17" s="211"/>
      <c r="M17" s="214"/>
      <c r="N17" s="214"/>
      <c r="O17" s="215"/>
      <c r="P17" s="214"/>
      <c r="Q17" s="214"/>
      <c r="R17" s="211"/>
      <c r="S17" s="211"/>
      <c r="T17" s="214"/>
      <c r="U17" s="215"/>
      <c r="V17" s="215"/>
      <c r="W17" s="214"/>
      <c r="X17" s="214"/>
      <c r="Y17" s="211"/>
      <c r="Z17" s="211"/>
      <c r="AA17" s="237">
        <f t="shared" ref="AA17" si="37">SUM(K17:Z17)</f>
        <v>0</v>
      </c>
      <c r="AB17" s="237">
        <f t="shared" ref="AB17" si="38">SUM(K17:Z17)</f>
        <v>0</v>
      </c>
      <c r="AC17" s="237">
        <f t="shared" ref="AC17" si="39">SUM(K18:Z18)</f>
        <v>0</v>
      </c>
      <c r="AD17" s="124"/>
    </row>
    <row r="18" ht="18.75" customHeight="1" spans="1:30">
      <c r="A18" s="127"/>
      <c r="B18" s="127"/>
      <c r="C18" s="127"/>
      <c r="D18" s="127"/>
      <c r="E18" s="127"/>
      <c r="F18" s="127"/>
      <c r="G18" s="193"/>
      <c r="H18" s="127"/>
      <c r="I18" s="216"/>
      <c r="J18" s="127"/>
      <c r="K18" s="217">
        <f>+K17/$G17*$D17</f>
        <v>0</v>
      </c>
      <c r="L18" s="217">
        <f t="shared" ref="L18:N18" si="40">+L17/$G17*$D17</f>
        <v>0</v>
      </c>
      <c r="M18" s="217">
        <f t="shared" si="40"/>
        <v>0</v>
      </c>
      <c r="N18" s="217">
        <f t="shared" si="40"/>
        <v>0</v>
      </c>
      <c r="O18" s="218">
        <f t="shared" ref="O18:Q18" si="41">+O17/$G17*$D17</f>
        <v>0</v>
      </c>
      <c r="P18" s="218">
        <f t="shared" si="41"/>
        <v>0</v>
      </c>
      <c r="Q18" s="218">
        <f t="shared" si="41"/>
        <v>0</v>
      </c>
      <c r="R18" s="217">
        <f t="shared" ref="R18:X18" si="42">+R17/$G17*$D17</f>
        <v>0</v>
      </c>
      <c r="S18" s="217">
        <f t="shared" si="42"/>
        <v>0</v>
      </c>
      <c r="T18" s="217">
        <f t="shared" si="42"/>
        <v>0</v>
      </c>
      <c r="U18" s="217">
        <f t="shared" si="42"/>
        <v>0</v>
      </c>
      <c r="V18" s="218">
        <f t="shared" si="42"/>
        <v>0</v>
      </c>
      <c r="W18" s="218">
        <f t="shared" si="42"/>
        <v>0</v>
      </c>
      <c r="X18" s="218">
        <f t="shared" si="0"/>
        <v>0</v>
      </c>
      <c r="Y18" s="217">
        <f t="shared" si="2"/>
        <v>0</v>
      </c>
      <c r="Z18" s="217">
        <f t="shared" si="2"/>
        <v>0</v>
      </c>
      <c r="AA18" s="238"/>
      <c r="AB18" s="239"/>
      <c r="AC18" s="238"/>
      <c r="AD18" s="127"/>
    </row>
    <row r="19" ht="18.75" customHeight="1" spans="1:30">
      <c r="A19" s="124">
        <v>8</v>
      </c>
      <c r="B19" s="124"/>
      <c r="C19" s="124" t="s">
        <v>110</v>
      </c>
      <c r="D19" s="124">
        <v>100</v>
      </c>
      <c r="E19" s="124" t="s">
        <v>111</v>
      </c>
      <c r="F19" s="124" t="s">
        <v>112</v>
      </c>
      <c r="G19" s="192">
        <v>0.421</v>
      </c>
      <c r="H19" s="124">
        <v>4</v>
      </c>
      <c r="I19" s="213">
        <f t="shared" si="10"/>
        <v>0</v>
      </c>
      <c r="J19" s="124"/>
      <c r="K19" s="211"/>
      <c r="L19" s="211"/>
      <c r="M19" s="214"/>
      <c r="N19" s="214"/>
      <c r="O19" s="215"/>
      <c r="P19" s="214"/>
      <c r="Q19" s="214"/>
      <c r="R19" s="211"/>
      <c r="S19" s="211"/>
      <c r="T19" s="214"/>
      <c r="U19" s="215"/>
      <c r="V19" s="215"/>
      <c r="W19" s="214"/>
      <c r="X19" s="214"/>
      <c r="Y19" s="211"/>
      <c r="Z19" s="211"/>
      <c r="AA19" s="237">
        <f t="shared" ref="AA19" si="43">SUM(K19:Z19)</f>
        <v>0</v>
      </c>
      <c r="AB19" s="237">
        <f t="shared" ref="AB19" si="44">SUM(K19:Z19)</f>
        <v>0</v>
      </c>
      <c r="AC19" s="237">
        <f t="shared" ref="AC19" si="45">SUM(K20:Z20)</f>
        <v>0</v>
      </c>
      <c r="AD19" s="124"/>
    </row>
    <row r="20" ht="18.75" customHeight="1" spans="1:30">
      <c r="A20" s="127"/>
      <c r="B20" s="127"/>
      <c r="C20" s="127"/>
      <c r="D20" s="127"/>
      <c r="E20" s="127"/>
      <c r="F20" s="127"/>
      <c r="G20" s="193"/>
      <c r="H20" s="127"/>
      <c r="I20" s="216"/>
      <c r="J20" s="127"/>
      <c r="K20" s="217">
        <f>+K19/$G19*$D19</f>
        <v>0</v>
      </c>
      <c r="L20" s="217">
        <f t="shared" ref="L20:O20" si="46">+L19/$G19*$D19</f>
        <v>0</v>
      </c>
      <c r="M20" s="217">
        <f t="shared" si="46"/>
        <v>0</v>
      </c>
      <c r="N20" s="217">
        <f t="shared" si="46"/>
        <v>0</v>
      </c>
      <c r="O20" s="217">
        <f t="shared" si="46"/>
        <v>0</v>
      </c>
      <c r="P20" s="218">
        <f t="shared" ref="P20:Q20" si="47">+P19/$G19*$D19</f>
        <v>0</v>
      </c>
      <c r="Q20" s="218">
        <f t="shared" si="47"/>
        <v>0</v>
      </c>
      <c r="R20" s="217">
        <f t="shared" ref="R20:X20" si="48">+R19/$G19*$D19</f>
        <v>0</v>
      </c>
      <c r="S20" s="217">
        <f t="shared" si="48"/>
        <v>0</v>
      </c>
      <c r="T20" s="217">
        <f t="shared" si="48"/>
        <v>0</v>
      </c>
      <c r="U20" s="217">
        <f t="shared" si="48"/>
        <v>0</v>
      </c>
      <c r="V20" s="218">
        <f t="shared" si="48"/>
        <v>0</v>
      </c>
      <c r="W20" s="218">
        <f t="shared" si="48"/>
        <v>0</v>
      </c>
      <c r="X20" s="218">
        <f t="shared" si="0"/>
        <v>0</v>
      </c>
      <c r="Y20" s="217">
        <f t="shared" si="2"/>
        <v>0</v>
      </c>
      <c r="Z20" s="217">
        <f t="shared" si="2"/>
        <v>0</v>
      </c>
      <c r="AA20" s="238"/>
      <c r="AB20" s="239"/>
      <c r="AC20" s="238"/>
      <c r="AD20" s="127"/>
    </row>
    <row r="21" ht="18.75" customHeight="1" spans="1:30">
      <c r="A21" s="124">
        <v>9</v>
      </c>
      <c r="B21" s="124" t="s">
        <v>91</v>
      </c>
      <c r="C21" s="124" t="s">
        <v>113</v>
      </c>
      <c r="D21" s="124">
        <v>100</v>
      </c>
      <c r="E21" s="124" t="s">
        <v>114</v>
      </c>
      <c r="F21" s="124" t="s">
        <v>115</v>
      </c>
      <c r="G21" s="192">
        <v>7.59</v>
      </c>
      <c r="H21" s="124">
        <v>3</v>
      </c>
      <c r="I21" s="213">
        <f t="shared" si="10"/>
        <v>1185.77075098814</v>
      </c>
      <c r="J21" s="124">
        <v>90</v>
      </c>
      <c r="K21" s="211">
        <v>8</v>
      </c>
      <c r="L21" s="211">
        <v>8</v>
      </c>
      <c r="M21" s="214">
        <v>8</v>
      </c>
      <c r="N21" s="214">
        <v>8</v>
      </c>
      <c r="O21" s="215"/>
      <c r="P21" s="214"/>
      <c r="Q21" s="214">
        <v>8</v>
      </c>
      <c r="R21" s="211">
        <v>8</v>
      </c>
      <c r="S21" s="211">
        <v>8</v>
      </c>
      <c r="T21" s="214">
        <v>8</v>
      </c>
      <c r="U21" s="215">
        <v>8</v>
      </c>
      <c r="V21" s="215"/>
      <c r="W21" s="214"/>
      <c r="X21" s="214">
        <v>8</v>
      </c>
      <c r="Y21" s="211">
        <v>8</v>
      </c>
      <c r="Z21" s="211"/>
      <c r="AA21" s="237">
        <f t="shared" ref="AA21" si="49">SUM(K21:Z21)</f>
        <v>88</v>
      </c>
      <c r="AB21" s="237">
        <f t="shared" ref="AB21" si="50">SUM(K21:Z21)</f>
        <v>88</v>
      </c>
      <c r="AC21" s="237">
        <f t="shared" ref="AC21" si="51">SUM(K22:Z22)</f>
        <v>1159.42028985507</v>
      </c>
      <c r="AD21" s="124"/>
    </row>
    <row r="22" ht="18.75" customHeight="1" spans="1:30">
      <c r="A22" s="127"/>
      <c r="B22" s="127"/>
      <c r="C22" s="127"/>
      <c r="D22" s="127"/>
      <c r="E22" s="127"/>
      <c r="F22" s="127"/>
      <c r="G22" s="193"/>
      <c r="H22" s="127"/>
      <c r="I22" s="216"/>
      <c r="J22" s="127"/>
      <c r="K22" s="217">
        <f>+K21/$G21*$D21</f>
        <v>105.401844532279</v>
      </c>
      <c r="L22" s="217">
        <f t="shared" ref="L22:N22" si="52">+L21/$G21*$D21</f>
        <v>105.401844532279</v>
      </c>
      <c r="M22" s="217">
        <f t="shared" si="52"/>
        <v>105.401844532279</v>
      </c>
      <c r="N22" s="217">
        <f t="shared" si="52"/>
        <v>105.401844532279</v>
      </c>
      <c r="O22" s="218">
        <f t="shared" ref="O22:Q22" si="53">+O21/$G21*$D21</f>
        <v>0</v>
      </c>
      <c r="P22" s="218">
        <f t="shared" si="53"/>
        <v>0</v>
      </c>
      <c r="Q22" s="218">
        <f t="shared" si="53"/>
        <v>105.401844532279</v>
      </c>
      <c r="R22" s="217">
        <f t="shared" ref="R22:X22" si="54">+R21/$G21*$D21</f>
        <v>105.401844532279</v>
      </c>
      <c r="S22" s="217">
        <f t="shared" si="54"/>
        <v>105.401844532279</v>
      </c>
      <c r="T22" s="217">
        <f t="shared" si="54"/>
        <v>105.401844532279</v>
      </c>
      <c r="U22" s="217">
        <f t="shared" si="54"/>
        <v>105.401844532279</v>
      </c>
      <c r="V22" s="218">
        <f t="shared" si="54"/>
        <v>0</v>
      </c>
      <c r="W22" s="218">
        <f t="shared" si="54"/>
        <v>0</v>
      </c>
      <c r="X22" s="218">
        <f t="shared" si="0"/>
        <v>105.401844532279</v>
      </c>
      <c r="Y22" s="217">
        <f t="shared" si="2"/>
        <v>105.401844532279</v>
      </c>
      <c r="Z22" s="217">
        <f t="shared" si="2"/>
        <v>0</v>
      </c>
      <c r="AA22" s="238"/>
      <c r="AB22" s="239"/>
      <c r="AC22" s="238"/>
      <c r="AD22" s="127"/>
    </row>
    <row r="23" ht="18.75" customHeight="1" spans="1:30">
      <c r="A23" s="124">
        <v>10</v>
      </c>
      <c r="B23" s="124"/>
      <c r="C23" s="124" t="s">
        <v>116</v>
      </c>
      <c r="D23" s="124">
        <v>1</v>
      </c>
      <c r="E23" s="124" t="s">
        <v>117</v>
      </c>
      <c r="F23" s="124" t="s">
        <v>118</v>
      </c>
      <c r="G23" s="192">
        <v>2.05</v>
      </c>
      <c r="H23" s="124">
        <v>4</v>
      </c>
      <c r="I23" s="213">
        <f t="shared" si="10"/>
        <v>0</v>
      </c>
      <c r="J23" s="124"/>
      <c r="K23" s="211"/>
      <c r="L23" s="211"/>
      <c r="M23" s="214"/>
      <c r="N23" s="214"/>
      <c r="O23" s="215"/>
      <c r="P23" s="214"/>
      <c r="Q23" s="214"/>
      <c r="R23" s="211"/>
      <c r="S23" s="211"/>
      <c r="T23" s="214"/>
      <c r="U23" s="215"/>
      <c r="V23" s="215"/>
      <c r="W23" s="214"/>
      <c r="X23" s="214"/>
      <c r="Y23" s="211"/>
      <c r="Z23" s="211"/>
      <c r="AA23" s="237">
        <f t="shared" ref="AA23" si="55">SUM(K23:Z23)</f>
        <v>0</v>
      </c>
      <c r="AB23" s="237">
        <f t="shared" ref="AB23" si="56">SUM(K23:Z23)</f>
        <v>0</v>
      </c>
      <c r="AC23" s="237">
        <f t="shared" ref="AC23" si="57">SUM(K24:Z24)</f>
        <v>0</v>
      </c>
      <c r="AD23" s="124"/>
    </row>
    <row r="24" ht="18.75" customHeight="1" spans="1:30">
      <c r="A24" s="127"/>
      <c r="B24" s="127"/>
      <c r="C24" s="127"/>
      <c r="D24" s="127"/>
      <c r="E24" s="127"/>
      <c r="F24" s="127"/>
      <c r="G24" s="193"/>
      <c r="H24" s="127"/>
      <c r="I24" s="216"/>
      <c r="J24" s="127"/>
      <c r="K24" s="217">
        <f>+K23/$G23*$D23</f>
        <v>0</v>
      </c>
      <c r="L24" s="217">
        <f t="shared" ref="L24:N24" si="58">+L23/$G23*$D23</f>
        <v>0</v>
      </c>
      <c r="M24" s="217">
        <f t="shared" si="58"/>
        <v>0</v>
      </c>
      <c r="N24" s="217">
        <f t="shared" si="58"/>
        <v>0</v>
      </c>
      <c r="O24" s="218">
        <f t="shared" ref="O24:Q24" si="59">+O23/$G23*$D23</f>
        <v>0</v>
      </c>
      <c r="P24" s="218">
        <f t="shared" si="59"/>
        <v>0</v>
      </c>
      <c r="Q24" s="218">
        <f t="shared" si="59"/>
        <v>0</v>
      </c>
      <c r="R24" s="217">
        <f t="shared" ref="R24:X24" si="60">+R23/$G23*$D23</f>
        <v>0</v>
      </c>
      <c r="S24" s="217">
        <f t="shared" si="60"/>
        <v>0</v>
      </c>
      <c r="T24" s="217">
        <f t="shared" si="60"/>
        <v>0</v>
      </c>
      <c r="U24" s="217">
        <f t="shared" si="60"/>
        <v>0</v>
      </c>
      <c r="V24" s="217">
        <f t="shared" si="60"/>
        <v>0</v>
      </c>
      <c r="W24" s="218">
        <f t="shared" si="60"/>
        <v>0</v>
      </c>
      <c r="X24" s="218">
        <f t="shared" si="0"/>
        <v>0</v>
      </c>
      <c r="Y24" s="217">
        <f t="shared" si="2"/>
        <v>0</v>
      </c>
      <c r="Z24" s="217">
        <f t="shared" si="2"/>
        <v>0</v>
      </c>
      <c r="AA24" s="238"/>
      <c r="AB24" s="239"/>
      <c r="AC24" s="238"/>
      <c r="AD24" s="127"/>
    </row>
    <row r="25" ht="18.75" customHeight="1" spans="1:30">
      <c r="A25" s="124">
        <v>11</v>
      </c>
      <c r="B25" s="124" t="s">
        <v>91</v>
      </c>
      <c r="C25" s="124" t="s">
        <v>119</v>
      </c>
      <c r="D25" s="124">
        <v>10</v>
      </c>
      <c r="E25" s="124" t="s">
        <v>120</v>
      </c>
      <c r="F25" s="124" t="s">
        <v>121</v>
      </c>
      <c r="G25" s="192">
        <v>0.501</v>
      </c>
      <c r="H25" s="124">
        <v>4</v>
      </c>
      <c r="I25" s="213">
        <f t="shared" si="10"/>
        <v>1796.40718562874</v>
      </c>
      <c r="J25" s="124">
        <v>90</v>
      </c>
      <c r="K25" s="211">
        <v>8</v>
      </c>
      <c r="L25" s="211">
        <v>8</v>
      </c>
      <c r="M25" s="214">
        <v>8</v>
      </c>
      <c r="N25" s="214">
        <v>8</v>
      </c>
      <c r="O25" s="215"/>
      <c r="P25" s="214"/>
      <c r="Q25" s="214">
        <v>8</v>
      </c>
      <c r="R25" s="211">
        <v>8</v>
      </c>
      <c r="S25" s="211">
        <v>8</v>
      </c>
      <c r="T25" s="214">
        <v>8</v>
      </c>
      <c r="U25" s="215">
        <v>8</v>
      </c>
      <c r="V25" s="215"/>
      <c r="W25" s="214"/>
      <c r="X25" s="214">
        <v>8</v>
      </c>
      <c r="Y25" s="211">
        <v>8</v>
      </c>
      <c r="Z25" s="211"/>
      <c r="AA25" s="237">
        <f t="shared" ref="AA25" si="61">SUM(K25:Z25)</f>
        <v>88</v>
      </c>
      <c r="AB25" s="237">
        <f t="shared" ref="AB25" si="62">SUM(K25:Z25)</f>
        <v>88</v>
      </c>
      <c r="AC25" s="237">
        <f t="shared" ref="AC25" si="63">SUM(K26:Z26)</f>
        <v>1756.4870259481</v>
      </c>
      <c r="AD25" s="124"/>
    </row>
    <row r="26" ht="18.75" customHeight="1" spans="1:30">
      <c r="A26" s="127"/>
      <c r="B26" s="127"/>
      <c r="C26" s="127"/>
      <c r="D26" s="127"/>
      <c r="E26" s="127"/>
      <c r="F26" s="127"/>
      <c r="G26" s="193"/>
      <c r="H26" s="127"/>
      <c r="I26" s="216"/>
      <c r="J26" s="127"/>
      <c r="K26" s="217">
        <f>+K25/$G25*$D25</f>
        <v>159.680638722555</v>
      </c>
      <c r="L26" s="217">
        <f t="shared" ref="L26:P26" si="64">+L25/$G25*$D25</f>
        <v>159.680638722555</v>
      </c>
      <c r="M26" s="217">
        <f t="shared" si="64"/>
        <v>159.680638722555</v>
      </c>
      <c r="N26" s="217">
        <f t="shared" si="64"/>
        <v>159.680638722555</v>
      </c>
      <c r="O26" s="217">
        <f t="shared" si="64"/>
        <v>0</v>
      </c>
      <c r="P26" s="217">
        <f t="shared" si="64"/>
        <v>0</v>
      </c>
      <c r="Q26" s="218">
        <f t="shared" ref="Q26" si="65">+Q25/$G25*$D25</f>
        <v>159.680638722555</v>
      </c>
      <c r="R26" s="217">
        <f t="shared" ref="R26:X26" si="66">+R25/$G25*$D25</f>
        <v>159.680638722555</v>
      </c>
      <c r="S26" s="217">
        <f t="shared" si="66"/>
        <v>159.680638722555</v>
      </c>
      <c r="T26" s="217">
        <f t="shared" si="66"/>
        <v>159.680638722555</v>
      </c>
      <c r="U26" s="217">
        <f t="shared" si="66"/>
        <v>159.680638722555</v>
      </c>
      <c r="V26" s="218">
        <f t="shared" si="66"/>
        <v>0</v>
      </c>
      <c r="W26" s="218">
        <f t="shared" si="66"/>
        <v>0</v>
      </c>
      <c r="X26" s="218">
        <f t="shared" si="0"/>
        <v>159.680638722555</v>
      </c>
      <c r="Y26" s="217">
        <f t="shared" si="2"/>
        <v>159.680638722555</v>
      </c>
      <c r="Z26" s="217">
        <f t="shared" si="2"/>
        <v>0</v>
      </c>
      <c r="AA26" s="238"/>
      <c r="AB26" s="239"/>
      <c r="AC26" s="238"/>
      <c r="AD26" s="127"/>
    </row>
    <row r="27" ht="18.75" customHeight="1" spans="1:30">
      <c r="A27" s="124">
        <v>12</v>
      </c>
      <c r="B27" s="124"/>
      <c r="C27" s="124" t="s">
        <v>122</v>
      </c>
      <c r="D27" s="124">
        <v>1</v>
      </c>
      <c r="E27" s="124" t="s">
        <v>89</v>
      </c>
      <c r="F27" s="124" t="s">
        <v>123</v>
      </c>
      <c r="G27" s="192">
        <v>1.83</v>
      </c>
      <c r="H27" s="148">
        <v>3.6</v>
      </c>
      <c r="I27" s="213">
        <f t="shared" si="10"/>
        <v>0</v>
      </c>
      <c r="J27" s="124"/>
      <c r="K27" s="211"/>
      <c r="L27" s="211"/>
      <c r="M27" s="214"/>
      <c r="N27" s="214"/>
      <c r="O27" s="215"/>
      <c r="P27" s="214"/>
      <c r="Q27" s="214"/>
      <c r="R27" s="211"/>
      <c r="S27" s="211"/>
      <c r="T27" s="214"/>
      <c r="U27" s="215"/>
      <c r="V27" s="215"/>
      <c r="W27" s="214"/>
      <c r="X27" s="214"/>
      <c r="Y27" s="211"/>
      <c r="Z27" s="211"/>
      <c r="AA27" s="237">
        <f t="shared" ref="AA27" si="67">SUM(K27:Z27)</f>
        <v>0</v>
      </c>
      <c r="AB27" s="237">
        <f t="shared" ref="AB27" si="68">SUM(K27:Z27)</f>
        <v>0</v>
      </c>
      <c r="AC27" s="237">
        <f t="shared" ref="AC27" si="69">SUM(K28:Z28)</f>
        <v>0</v>
      </c>
      <c r="AD27" s="124"/>
    </row>
    <row r="28" ht="18.75" customHeight="1" spans="1:30">
      <c r="A28" s="194"/>
      <c r="B28" s="194"/>
      <c r="C28" s="127"/>
      <c r="D28" s="127"/>
      <c r="E28" s="127"/>
      <c r="F28" s="127"/>
      <c r="G28" s="193"/>
      <c r="H28" s="150"/>
      <c r="I28" s="216"/>
      <c r="J28" s="127"/>
      <c r="K28" s="217">
        <f>+K27/$G27*$D27</f>
        <v>0</v>
      </c>
      <c r="L28" s="217">
        <f t="shared" ref="L28:N28" si="70">+L27/$G27*$D27</f>
        <v>0</v>
      </c>
      <c r="M28" s="217">
        <f t="shared" si="70"/>
        <v>0</v>
      </c>
      <c r="N28" s="217">
        <f t="shared" si="70"/>
        <v>0</v>
      </c>
      <c r="O28" s="218">
        <f t="shared" ref="O28:Q28" si="71">+O27/$G27*$D27</f>
        <v>0</v>
      </c>
      <c r="P28" s="218">
        <f t="shared" si="71"/>
        <v>0</v>
      </c>
      <c r="Q28" s="218">
        <f t="shared" si="71"/>
        <v>0</v>
      </c>
      <c r="R28" s="217">
        <f t="shared" ref="R28:X28" si="72">+R27/$G27*$D27</f>
        <v>0</v>
      </c>
      <c r="S28" s="217">
        <f t="shared" si="72"/>
        <v>0</v>
      </c>
      <c r="T28" s="217">
        <f t="shared" si="72"/>
        <v>0</v>
      </c>
      <c r="U28" s="217">
        <f t="shared" si="72"/>
        <v>0</v>
      </c>
      <c r="V28" s="217">
        <f t="shared" si="72"/>
        <v>0</v>
      </c>
      <c r="W28" s="218">
        <f t="shared" si="72"/>
        <v>0</v>
      </c>
      <c r="X28" s="218">
        <f t="shared" si="0"/>
        <v>0</v>
      </c>
      <c r="Y28" s="217">
        <f t="shared" si="2"/>
        <v>0</v>
      </c>
      <c r="Z28" s="217">
        <f t="shared" si="2"/>
        <v>0</v>
      </c>
      <c r="AA28" s="238"/>
      <c r="AB28" s="239"/>
      <c r="AC28" s="238"/>
      <c r="AD28" s="194"/>
    </row>
    <row r="29" ht="18.75" customHeight="1" spans="1:30">
      <c r="A29" s="124">
        <v>13</v>
      </c>
      <c r="B29" s="124"/>
      <c r="C29" s="124" t="s">
        <v>124</v>
      </c>
      <c r="D29" s="124">
        <v>10</v>
      </c>
      <c r="E29" s="124" t="s">
        <v>125</v>
      </c>
      <c r="F29" s="124" t="s">
        <v>126</v>
      </c>
      <c r="G29" s="192">
        <v>1.3</v>
      </c>
      <c r="H29" s="148">
        <v>5</v>
      </c>
      <c r="I29" s="213">
        <f t="shared" si="10"/>
        <v>0</v>
      </c>
      <c r="J29" s="124"/>
      <c r="K29" s="211"/>
      <c r="L29" s="211"/>
      <c r="M29" s="214"/>
      <c r="N29" s="214"/>
      <c r="O29" s="215"/>
      <c r="P29" s="214"/>
      <c r="Q29" s="214"/>
      <c r="R29" s="211"/>
      <c r="S29" s="211"/>
      <c r="T29" s="214"/>
      <c r="U29" s="215"/>
      <c r="V29" s="215"/>
      <c r="W29" s="214"/>
      <c r="X29" s="214"/>
      <c r="Y29" s="211"/>
      <c r="Z29" s="211"/>
      <c r="AA29" s="237">
        <f t="shared" ref="AA29" si="73">SUM(K29:Z29)</f>
        <v>0</v>
      </c>
      <c r="AB29" s="237">
        <f t="shared" ref="AB29" si="74">SUM(K29:Z29)</f>
        <v>0</v>
      </c>
      <c r="AC29" s="237">
        <f t="shared" ref="AC29" si="75">SUM(K30:Z30)</f>
        <v>0</v>
      </c>
      <c r="AD29" s="194"/>
    </row>
    <row r="30" ht="18.75" customHeight="1" spans="1:30">
      <c r="A30" s="127"/>
      <c r="B30" s="127"/>
      <c r="C30" s="127"/>
      <c r="D30" s="127"/>
      <c r="E30" s="127"/>
      <c r="F30" s="127"/>
      <c r="G30" s="193"/>
      <c r="H30" s="150"/>
      <c r="I30" s="216"/>
      <c r="J30" s="127"/>
      <c r="K30" s="217">
        <f>+K29/$G29*$D29</f>
        <v>0</v>
      </c>
      <c r="L30" s="217">
        <f t="shared" ref="L30:N30" si="76">+L29/$G29*$D29</f>
        <v>0</v>
      </c>
      <c r="M30" s="217">
        <f t="shared" si="76"/>
        <v>0</v>
      </c>
      <c r="N30" s="217">
        <f t="shared" si="76"/>
        <v>0</v>
      </c>
      <c r="O30" s="218">
        <f t="shared" ref="O30:Q30" si="77">+O29/$G29*$D29</f>
        <v>0</v>
      </c>
      <c r="P30" s="218">
        <f t="shared" si="77"/>
        <v>0</v>
      </c>
      <c r="Q30" s="218">
        <f t="shared" si="77"/>
        <v>0</v>
      </c>
      <c r="R30" s="217">
        <f t="shared" ref="R30:X30" si="78">+R29/$G29*$D29</f>
        <v>0</v>
      </c>
      <c r="S30" s="217">
        <f t="shared" si="78"/>
        <v>0</v>
      </c>
      <c r="T30" s="217">
        <f t="shared" si="78"/>
        <v>0</v>
      </c>
      <c r="U30" s="217">
        <f t="shared" si="78"/>
        <v>0</v>
      </c>
      <c r="V30" s="217">
        <f t="shared" si="78"/>
        <v>0</v>
      </c>
      <c r="W30" s="218">
        <f t="shared" si="78"/>
        <v>0</v>
      </c>
      <c r="X30" s="218">
        <f t="shared" si="0"/>
        <v>0</v>
      </c>
      <c r="Y30" s="217">
        <f t="shared" si="2"/>
        <v>0</v>
      </c>
      <c r="Z30" s="217">
        <f t="shared" si="2"/>
        <v>0</v>
      </c>
      <c r="AA30" s="238"/>
      <c r="AB30" s="239"/>
      <c r="AC30" s="238"/>
      <c r="AD30" s="194"/>
    </row>
    <row r="31" ht="18.75" customHeight="1" spans="1:30">
      <c r="A31" s="124">
        <v>14</v>
      </c>
      <c r="B31" s="124"/>
      <c r="C31" s="124" t="s">
        <v>128</v>
      </c>
      <c r="D31" s="124">
        <v>1</v>
      </c>
      <c r="E31" s="124" t="s">
        <v>129</v>
      </c>
      <c r="F31" s="124" t="s">
        <v>130</v>
      </c>
      <c r="G31" s="192">
        <v>2</v>
      </c>
      <c r="H31" s="148">
        <v>3.6</v>
      </c>
      <c r="I31" s="213">
        <f t="shared" si="10"/>
        <v>0</v>
      </c>
      <c r="J31" s="124"/>
      <c r="K31" s="211"/>
      <c r="L31" s="211"/>
      <c r="M31" s="214"/>
      <c r="N31" s="214"/>
      <c r="O31" s="215"/>
      <c r="P31" s="214"/>
      <c r="Q31" s="214"/>
      <c r="R31" s="211"/>
      <c r="S31" s="211"/>
      <c r="T31" s="214"/>
      <c r="U31" s="215"/>
      <c r="V31" s="215"/>
      <c r="W31" s="214"/>
      <c r="X31" s="214"/>
      <c r="Y31" s="211"/>
      <c r="Z31" s="211"/>
      <c r="AA31" s="237">
        <f t="shared" ref="AA31" si="79">SUM(K31:Z31)</f>
        <v>0</v>
      </c>
      <c r="AB31" s="237">
        <f t="shared" ref="AB31" si="80">SUM(K31:Z31)</f>
        <v>0</v>
      </c>
      <c r="AC31" s="237">
        <f t="shared" ref="AC31" si="81">SUM(K32:Z32)</f>
        <v>0</v>
      </c>
      <c r="AD31" s="194"/>
    </row>
    <row r="32" ht="18.75" customHeight="1" spans="1:30">
      <c r="A32" s="127"/>
      <c r="B32" s="127"/>
      <c r="C32" s="127"/>
      <c r="D32" s="127"/>
      <c r="E32" s="127"/>
      <c r="F32" s="127"/>
      <c r="G32" s="193"/>
      <c r="H32" s="150"/>
      <c r="I32" s="216"/>
      <c r="J32" s="127"/>
      <c r="K32" s="217">
        <f>+K31/$G31*$D31</f>
        <v>0</v>
      </c>
      <c r="L32" s="217">
        <f t="shared" ref="L32:N32" si="82">+L31/$G31*$D31</f>
        <v>0</v>
      </c>
      <c r="M32" s="217">
        <f t="shared" si="82"/>
        <v>0</v>
      </c>
      <c r="N32" s="217">
        <f t="shared" si="82"/>
        <v>0</v>
      </c>
      <c r="O32" s="218">
        <f t="shared" ref="O32:Q32" si="83">+O31/$G31*$D31</f>
        <v>0</v>
      </c>
      <c r="P32" s="218">
        <f t="shared" si="83"/>
        <v>0</v>
      </c>
      <c r="Q32" s="218">
        <f t="shared" si="83"/>
        <v>0</v>
      </c>
      <c r="R32" s="217">
        <f t="shared" ref="R32:X32" si="84">+R31/$G31*$D31</f>
        <v>0</v>
      </c>
      <c r="S32" s="217">
        <f t="shared" si="84"/>
        <v>0</v>
      </c>
      <c r="T32" s="217">
        <f t="shared" si="84"/>
        <v>0</v>
      </c>
      <c r="U32" s="217">
        <f t="shared" si="84"/>
        <v>0</v>
      </c>
      <c r="V32" s="218">
        <f t="shared" si="84"/>
        <v>0</v>
      </c>
      <c r="W32" s="218">
        <f t="shared" si="84"/>
        <v>0</v>
      </c>
      <c r="X32" s="218">
        <f t="shared" si="0"/>
        <v>0</v>
      </c>
      <c r="Y32" s="217">
        <f t="shared" si="2"/>
        <v>0</v>
      </c>
      <c r="Z32" s="217">
        <f t="shared" si="2"/>
        <v>0</v>
      </c>
      <c r="AA32" s="238"/>
      <c r="AB32" s="239"/>
      <c r="AC32" s="238"/>
      <c r="AD32" s="194"/>
    </row>
    <row r="33" ht="18.75" customHeight="1" spans="1:30">
      <c r="A33" s="124">
        <v>15</v>
      </c>
      <c r="B33" s="124" t="s">
        <v>131</v>
      </c>
      <c r="C33" s="124" t="s">
        <v>132</v>
      </c>
      <c r="D33" s="124"/>
      <c r="E33" s="124"/>
      <c r="F33" s="124"/>
      <c r="G33" s="192"/>
      <c r="H33" s="148">
        <v>3</v>
      </c>
      <c r="I33" s="219"/>
      <c r="J33" s="124">
        <v>88</v>
      </c>
      <c r="K33" s="211">
        <v>8</v>
      </c>
      <c r="L33" s="211">
        <v>8</v>
      </c>
      <c r="M33" s="214">
        <v>8</v>
      </c>
      <c r="N33" s="214">
        <v>8</v>
      </c>
      <c r="O33" s="215"/>
      <c r="P33" s="214"/>
      <c r="Q33" s="214">
        <v>8</v>
      </c>
      <c r="R33" s="211">
        <v>8</v>
      </c>
      <c r="S33" s="211">
        <v>8</v>
      </c>
      <c r="T33" s="214">
        <v>8</v>
      </c>
      <c r="U33" s="215">
        <v>8</v>
      </c>
      <c r="V33" s="215"/>
      <c r="W33" s="214"/>
      <c r="X33" s="214">
        <v>8</v>
      </c>
      <c r="Y33" s="211">
        <v>8</v>
      </c>
      <c r="Z33" s="211"/>
      <c r="AA33" s="240">
        <f>SUM(K33:Z33)</f>
        <v>88</v>
      </c>
      <c r="AB33" s="240">
        <f>SUM(K33:Z33)</f>
        <v>88</v>
      </c>
      <c r="AC33" s="241">
        <v>0</v>
      </c>
      <c r="AD33" s="194"/>
    </row>
    <row r="34" ht="18.75" customHeight="1" spans="1:30">
      <c r="A34" s="124">
        <v>16</v>
      </c>
      <c r="B34" s="195"/>
      <c r="C34" s="124" t="s">
        <v>133</v>
      </c>
      <c r="D34" s="124">
        <v>1</v>
      </c>
      <c r="E34" s="124" t="s">
        <v>129</v>
      </c>
      <c r="F34" s="124" t="s">
        <v>134</v>
      </c>
      <c r="G34" s="192">
        <v>3.69</v>
      </c>
      <c r="H34" s="148">
        <v>2.8</v>
      </c>
      <c r="I34" s="213">
        <f t="shared" ref="I34" si="85">+J34*D34/G34</f>
        <v>0</v>
      </c>
      <c r="J34" s="124"/>
      <c r="K34" s="211"/>
      <c r="L34" s="211"/>
      <c r="M34" s="214"/>
      <c r="N34" s="214"/>
      <c r="O34" s="215"/>
      <c r="P34" s="214"/>
      <c r="Q34" s="214"/>
      <c r="R34" s="211"/>
      <c r="S34" s="211"/>
      <c r="T34" s="214"/>
      <c r="U34" s="215"/>
      <c r="V34" s="215"/>
      <c r="W34" s="214"/>
      <c r="X34" s="214"/>
      <c r="Y34" s="211"/>
      <c r="Z34" s="211"/>
      <c r="AA34" s="237">
        <f>SUM(K34:Z34)</f>
        <v>0</v>
      </c>
      <c r="AB34" s="237">
        <f>SUM(K34:Z34)</f>
        <v>0</v>
      </c>
      <c r="AC34" s="237">
        <f t="shared" ref="AC34" si="86">SUM(K35:Z35)</f>
        <v>0</v>
      </c>
      <c r="AD34" s="195"/>
    </row>
    <row r="35" ht="18.75" customHeight="1" spans="1:30">
      <c r="A35" s="194"/>
      <c r="B35" s="195"/>
      <c r="C35" s="127"/>
      <c r="D35" s="127"/>
      <c r="E35" s="127"/>
      <c r="F35" s="127"/>
      <c r="G35" s="193"/>
      <c r="H35" s="150"/>
      <c r="I35" s="220"/>
      <c r="J35" s="127"/>
      <c r="K35" s="217">
        <f>+K34/$G34*$D34</f>
        <v>0</v>
      </c>
      <c r="L35" s="217">
        <f t="shared" ref="L35:N35" si="87">+L34/$G34*$D34</f>
        <v>0</v>
      </c>
      <c r="M35" s="217">
        <f t="shared" si="87"/>
        <v>0</v>
      </c>
      <c r="N35" s="217">
        <f t="shared" si="87"/>
        <v>0</v>
      </c>
      <c r="O35" s="218">
        <f t="shared" ref="O35:R35" si="88">+O34/$G34*$D34</f>
        <v>0</v>
      </c>
      <c r="P35" s="218">
        <f t="shared" si="88"/>
        <v>0</v>
      </c>
      <c r="Q35" s="218">
        <f t="shared" si="88"/>
        <v>0</v>
      </c>
      <c r="R35" s="217">
        <f t="shared" si="88"/>
        <v>0</v>
      </c>
      <c r="S35" s="217">
        <f t="shared" ref="S35:Z36" si="89">+S34/$G34*$D34</f>
        <v>0</v>
      </c>
      <c r="T35" s="217">
        <f t="shared" si="89"/>
        <v>0</v>
      </c>
      <c r="U35" s="217">
        <f t="shared" si="89"/>
        <v>0</v>
      </c>
      <c r="V35" s="217">
        <f t="shared" si="89"/>
        <v>0</v>
      </c>
      <c r="W35" s="218">
        <f t="shared" si="89"/>
        <v>0</v>
      </c>
      <c r="X35" s="218">
        <f t="shared" si="89"/>
        <v>0</v>
      </c>
      <c r="Y35" s="217">
        <f t="shared" si="89"/>
        <v>0</v>
      </c>
      <c r="Z35" s="217">
        <f t="shared" si="89"/>
        <v>0</v>
      </c>
      <c r="AA35" s="238"/>
      <c r="AB35" s="239"/>
      <c r="AC35" s="238"/>
      <c r="AD35" s="195"/>
    </row>
    <row r="36" spans="1:30">
      <c r="A36" s="124"/>
      <c r="B36" s="195"/>
      <c r="C36" s="195" t="s">
        <v>135</v>
      </c>
      <c r="D36" s="195"/>
      <c r="E36" s="195"/>
      <c r="F36" s="195"/>
      <c r="G36" s="195"/>
      <c r="H36" s="195"/>
      <c r="I36" s="213">
        <f>SUM(I5:I35)</f>
        <v>8761.18070418641</v>
      </c>
      <c r="J36" s="221">
        <f>SUM(J5:J35)</f>
        <v>718</v>
      </c>
      <c r="K36" s="217">
        <f>+K5+K7+K9+K11+K13+K15+K17+K19+K21+K23+K25+K27+K29+K31+K34+K33</f>
        <v>64</v>
      </c>
      <c r="L36" s="217">
        <f t="shared" ref="L36:Z36" si="90">+L5+L7+L9+L11+L13+L15+L17+L19+L21+L23+L25+L27+L29+L31+L34+L33</f>
        <v>64</v>
      </c>
      <c r="M36" s="217">
        <f t="shared" si="90"/>
        <v>64</v>
      </c>
      <c r="N36" s="217">
        <f t="shared" si="90"/>
        <v>64</v>
      </c>
      <c r="O36" s="218">
        <f t="shared" ref="O36:R36" si="91">+O5+O7+O9+O11+O13+O15+O17+O19+O21+O23+O25+O27+O29+O31+O34+O33</f>
        <v>0</v>
      </c>
      <c r="P36" s="218">
        <f t="shared" si="91"/>
        <v>0</v>
      </c>
      <c r="Q36" s="218">
        <f t="shared" si="91"/>
        <v>64</v>
      </c>
      <c r="R36" s="217">
        <f t="shared" si="91"/>
        <v>64</v>
      </c>
      <c r="S36" s="217">
        <f t="shared" si="90"/>
        <v>64</v>
      </c>
      <c r="T36" s="217">
        <f t="shared" si="90"/>
        <v>64</v>
      </c>
      <c r="U36" s="217">
        <f t="shared" si="90"/>
        <v>64</v>
      </c>
      <c r="V36" s="218">
        <f t="shared" si="90"/>
        <v>0</v>
      </c>
      <c r="W36" s="218">
        <f t="shared" si="90"/>
        <v>0</v>
      </c>
      <c r="X36" s="218">
        <f t="shared" si="90"/>
        <v>64</v>
      </c>
      <c r="Y36" s="218">
        <f t="shared" si="90"/>
        <v>64</v>
      </c>
      <c r="Z36" s="218">
        <f t="shared" si="90"/>
        <v>0</v>
      </c>
      <c r="AA36" s="242">
        <f>SUM(K36:Z36)</f>
        <v>704</v>
      </c>
      <c r="AB36" s="242">
        <f>SUM(AB5:AB35)</f>
        <v>704</v>
      </c>
      <c r="AC36" s="242">
        <f>SUM(AC5:AC35)</f>
        <v>8530.44386133197</v>
      </c>
      <c r="AD36" s="195"/>
    </row>
    <row r="37" ht="17.25" customHeight="1" spans="1:30">
      <c r="A37" s="196"/>
      <c r="B37" s="196"/>
      <c r="C37" s="195" t="s">
        <v>136</v>
      </c>
      <c r="D37" s="195"/>
      <c r="E37" s="195"/>
      <c r="F37" s="195"/>
      <c r="G37" s="195"/>
      <c r="H37" s="195"/>
      <c r="I37" s="195"/>
      <c r="J37" s="195"/>
      <c r="K37" s="222">
        <f>+'2-3 бетлар'!C42</f>
        <v>64</v>
      </c>
      <c r="L37" s="223">
        <f>+'2-3 бетлар'!D42</f>
        <v>64</v>
      </c>
      <c r="M37" s="222">
        <f>+'2-3 бетлар'!E42</f>
        <v>64</v>
      </c>
      <c r="N37" s="222">
        <f>+'2-3 бетлар'!F42</f>
        <v>64</v>
      </c>
      <c r="O37" s="222">
        <f>+'2-3 бетлар'!G42</f>
        <v>0</v>
      </c>
      <c r="P37" s="222">
        <f>+'2-3 бетлар'!H42</f>
        <v>0</v>
      </c>
      <c r="Q37" s="222">
        <f>+'2-3 бетлар'!I42</f>
        <v>64</v>
      </c>
      <c r="R37" s="222">
        <f>+'2-3 бетлар'!J42</f>
        <v>64</v>
      </c>
      <c r="S37" s="223">
        <f>+'2-3 бетлар'!K42</f>
        <v>64</v>
      </c>
      <c r="T37" s="222">
        <f>+'2-3 бетлар'!L42</f>
        <v>64</v>
      </c>
      <c r="U37" s="222">
        <f>+'2-3 бетлар'!M42</f>
        <v>64</v>
      </c>
      <c r="V37" s="222">
        <f>+'2-3 бетлар'!N42</f>
        <v>0</v>
      </c>
      <c r="W37" s="222">
        <f>+'2-3 бетлар'!O42</f>
        <v>0</v>
      </c>
      <c r="X37" s="222">
        <f>+'2-3 бетлар'!P42</f>
        <v>64</v>
      </c>
      <c r="Y37" s="222">
        <f>+'2-3 бетлар'!Q42</f>
        <v>64</v>
      </c>
      <c r="Z37" s="223">
        <f>+'2-3 бетлар'!R42</f>
        <v>0</v>
      </c>
      <c r="AA37" s="223">
        <f>+'2-3 бетлар'!S42</f>
        <v>704</v>
      </c>
      <c r="AB37" s="195"/>
      <c r="AC37" s="195"/>
      <c r="AD37" s="195"/>
    </row>
    <row r="38" ht="9.75" customHeight="1" spans="1:30">
      <c r="A38" s="197"/>
      <c r="B38" s="197"/>
      <c r="C38" s="197"/>
      <c r="D38" s="197"/>
      <c r="E38" s="197"/>
      <c r="F38" s="197"/>
      <c r="G38" s="197"/>
      <c r="H38" s="197"/>
      <c r="I38" s="197"/>
      <c r="J38" s="197"/>
      <c r="K38" s="224"/>
      <c r="L38" s="224"/>
      <c r="M38" s="224"/>
      <c r="N38" s="224"/>
      <c r="O38" s="224"/>
      <c r="P38" s="224"/>
      <c r="Q38" s="224"/>
      <c r="R38" s="224"/>
      <c r="S38" s="224"/>
      <c r="T38" s="224"/>
      <c r="U38" s="224"/>
      <c r="V38" s="224"/>
      <c r="W38" s="224"/>
      <c r="X38" s="224"/>
      <c r="Y38" s="224"/>
      <c r="Z38" s="224"/>
      <c r="AA38" s="243"/>
      <c r="AB38" s="197"/>
      <c r="AC38" s="197"/>
      <c r="AD38" s="197"/>
    </row>
    <row r="39" ht="31.5" customHeight="1" spans="1:30">
      <c r="A39" s="198"/>
      <c r="B39" s="199" t="s">
        <v>137</v>
      </c>
      <c r="C39" s="199"/>
      <c r="D39" s="199"/>
      <c r="E39" s="199"/>
      <c r="F39" s="199"/>
      <c r="G39" s="199"/>
      <c r="H39" s="199"/>
      <c r="I39" s="199"/>
      <c r="J39" s="198"/>
      <c r="K39" s="225" t="s">
        <v>138</v>
      </c>
      <c r="L39" s="225"/>
      <c r="M39" s="225"/>
      <c r="N39" s="225"/>
      <c r="O39" s="225"/>
      <c r="P39" s="225"/>
      <c r="Q39" s="225"/>
      <c r="R39" s="225"/>
      <c r="S39" s="225"/>
      <c r="T39" s="225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</row>
    <row r="40" spans="1:30">
      <c r="A40" s="198"/>
      <c r="B40" s="198"/>
      <c r="C40" s="198"/>
      <c r="D40" s="200" t="s">
        <v>16</v>
      </c>
      <c r="E40" s="200"/>
      <c r="F40" s="200"/>
      <c r="G40" s="200"/>
      <c r="H40" s="200"/>
      <c r="I40" s="198"/>
      <c r="J40" s="198"/>
      <c r="K40" s="198"/>
      <c r="L40" s="198"/>
      <c r="M40" s="198"/>
      <c r="N40" s="198"/>
      <c r="O40" s="198"/>
      <c r="P40" s="198"/>
      <c r="Q40" s="198"/>
      <c r="R40" s="200" t="s">
        <v>16</v>
      </c>
      <c r="S40" s="200"/>
      <c r="T40" s="200"/>
      <c r="U40" s="200"/>
      <c r="V40" s="198"/>
      <c r="W40" s="198"/>
      <c r="X40" s="198"/>
      <c r="Y40" s="198"/>
      <c r="Z40" s="198"/>
      <c r="AA40" s="198"/>
      <c r="AB40" s="244" t="s">
        <v>16</v>
      </c>
      <c r="AC40" s="244"/>
      <c r="AD40" s="244"/>
    </row>
    <row r="41" ht="6" customHeight="1" spans="1:30">
      <c r="A41" s="198"/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8"/>
      <c r="AD41" s="198"/>
    </row>
    <row r="42" spans="1:30">
      <c r="A42" s="201" t="s">
        <v>139</v>
      </c>
      <c r="B42" s="202"/>
      <c r="C42" s="202"/>
      <c r="D42" s="202"/>
      <c r="E42" s="202"/>
      <c r="F42" s="202"/>
      <c r="G42" s="202"/>
      <c r="H42" s="202"/>
      <c r="I42" s="202"/>
      <c r="J42" s="202"/>
      <c r="K42" s="225" t="s">
        <v>140</v>
      </c>
      <c r="L42" s="225"/>
      <c r="M42" s="225"/>
      <c r="N42" s="225"/>
      <c r="O42" s="225"/>
      <c r="P42" s="225"/>
      <c r="Q42" s="225"/>
      <c r="R42" s="225"/>
      <c r="S42" s="225"/>
      <c r="T42" s="198"/>
      <c r="U42" s="198"/>
      <c r="V42" s="198"/>
      <c r="W42" s="198"/>
      <c r="X42" s="198"/>
      <c r="Y42" s="198"/>
      <c r="Z42" s="198"/>
      <c r="AA42" s="198"/>
      <c r="AB42" s="198"/>
      <c r="AC42" s="198"/>
      <c r="AD42" s="198"/>
    </row>
    <row r="43" spans="1:30">
      <c r="A43" s="202" t="s">
        <v>143</v>
      </c>
      <c r="B43" s="202"/>
      <c r="C43" s="202"/>
      <c r="D43" s="202"/>
      <c r="E43" s="202"/>
      <c r="F43" s="202"/>
      <c r="G43" s="202"/>
      <c r="H43" s="202"/>
      <c r="I43" s="202"/>
      <c r="J43" s="202"/>
      <c r="K43" s="199"/>
      <c r="L43" s="199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  <c r="AA43" s="198"/>
      <c r="AB43" s="198"/>
      <c r="AC43" s="198"/>
      <c r="AD43" s="198"/>
    </row>
    <row r="44" spans="4:20">
      <c r="D44" s="133">
        <v>6</v>
      </c>
      <c r="E44" s="133"/>
      <c r="F44" s="133"/>
      <c r="T44" s="133">
        <v>7</v>
      </c>
    </row>
  </sheetData>
  <sheetProtection algorithmName="SHA-512" hashValue="xFVYbR0YMgUMWx40HCFDJdjWpyI6oXagjgUxmDNych8k/EpvfbUoyMg48e/piuPA7ufqgaS9RMnMoH+JCoOH9Q==" saltValue="pa9f3l0MEeN2Uh86jKlrfA==" spinCount="100000" sheet="1" objects="1" scenarios="1"/>
  <mergeCells count="232">
    <mergeCell ref="C1:G1"/>
    <mergeCell ref="AA1:AB1"/>
    <mergeCell ref="I2:J2"/>
    <mergeCell ref="B39:I39"/>
    <mergeCell ref="K39:AD39"/>
    <mergeCell ref="D40:H40"/>
    <mergeCell ref="R40:U40"/>
    <mergeCell ref="AB40:AD40"/>
    <mergeCell ref="A42:J42"/>
    <mergeCell ref="K42:S42"/>
    <mergeCell ref="A43:J43"/>
    <mergeCell ref="K43:L43"/>
    <mergeCell ref="A2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4:A35"/>
    <mergeCell ref="B2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4:B35"/>
    <mergeCell ref="C2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4:C35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4:D35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4:E35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4:F35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4:G35"/>
    <mergeCell ref="H2:H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4:H35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J3:J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4:J35"/>
    <mergeCell ref="AA2:AA3"/>
    <mergeCell ref="AA5:AA6"/>
    <mergeCell ref="AA7:AA8"/>
    <mergeCell ref="AA9:AA10"/>
    <mergeCell ref="AA11:AA12"/>
    <mergeCell ref="AA13:AA14"/>
    <mergeCell ref="AA15:AA16"/>
    <mergeCell ref="AA17:AA18"/>
    <mergeCell ref="AA19:AA20"/>
    <mergeCell ref="AA21:AA22"/>
    <mergeCell ref="AA23:AA24"/>
    <mergeCell ref="AA25:AA26"/>
    <mergeCell ref="AA27:AA28"/>
    <mergeCell ref="AA29:AA30"/>
    <mergeCell ref="AA31:AA32"/>
    <mergeCell ref="AA34:AA35"/>
    <mergeCell ref="AB2:AB3"/>
    <mergeCell ref="AB5:AB6"/>
    <mergeCell ref="AB7:AB8"/>
    <mergeCell ref="AB9:AB10"/>
    <mergeCell ref="AB11:AB12"/>
    <mergeCell ref="AB13:AB14"/>
    <mergeCell ref="AB15:AB16"/>
    <mergeCell ref="AB17:AB18"/>
    <mergeCell ref="AB19:AB20"/>
    <mergeCell ref="AB21:AB22"/>
    <mergeCell ref="AB23:AB24"/>
    <mergeCell ref="AB25:AB26"/>
    <mergeCell ref="AB27:AB28"/>
    <mergeCell ref="AB29:AB30"/>
    <mergeCell ref="AB31:AB32"/>
    <mergeCell ref="AB34:AB35"/>
    <mergeCell ref="AC2:AC3"/>
    <mergeCell ref="AC5:AC6"/>
    <mergeCell ref="AC7:AC8"/>
    <mergeCell ref="AC9:AC10"/>
    <mergeCell ref="AC11:AC12"/>
    <mergeCell ref="AC13:AC14"/>
    <mergeCell ref="AC15:AC16"/>
    <mergeCell ref="AC17:AC18"/>
    <mergeCell ref="AC19:AC20"/>
    <mergeCell ref="AC21:AC22"/>
    <mergeCell ref="AC23:AC24"/>
    <mergeCell ref="AC25:AC26"/>
    <mergeCell ref="AC27:AC28"/>
    <mergeCell ref="AC29:AC30"/>
    <mergeCell ref="AC31:AC32"/>
    <mergeCell ref="AC34:AC35"/>
    <mergeCell ref="AD2:AD3"/>
    <mergeCell ref="AD5:AD6"/>
    <mergeCell ref="AD7:AD8"/>
    <mergeCell ref="AD9:AD10"/>
    <mergeCell ref="AD11:AD12"/>
    <mergeCell ref="AD13:AD14"/>
    <mergeCell ref="AD15:AD16"/>
    <mergeCell ref="AD17:AD18"/>
    <mergeCell ref="AD19:AD20"/>
    <mergeCell ref="AD21:AD22"/>
    <mergeCell ref="AD23:AD24"/>
    <mergeCell ref="AD25:AD26"/>
    <mergeCell ref="AD27:AD28"/>
    <mergeCell ref="AD34:AD35"/>
    <mergeCell ref="D2:E4"/>
    <mergeCell ref="F2:G4"/>
    <mergeCell ref="K2:Z3"/>
  </mergeCells>
  <pageMargins left="0.708661417322835" right="0.71" top="0.708661417322835" bottom="0.31496062992126" header="0.551181102362205" footer="0.31496062992126"/>
  <pageSetup paperSize="9" scale="9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5"/>
  <dimension ref="A2:AC36"/>
  <sheetViews>
    <sheetView workbookViewId="0">
      <selection activeCell="P9" sqref="P9"/>
    </sheetView>
  </sheetViews>
  <sheetFormatPr defaultColWidth="9" defaultRowHeight="14.4"/>
  <cols>
    <col min="1" max="1" width="3.85185185185185" style="108" customWidth="1"/>
    <col min="2" max="2" width="2.71296296296296" style="108" customWidth="1"/>
    <col min="3" max="3" width="10.4259259259259" style="108" customWidth="1"/>
    <col min="4" max="4" width="15.8518518518519" style="108" customWidth="1"/>
    <col min="5" max="5" width="6.28703703703704" style="108" customWidth="1"/>
    <col min="6" max="6" width="16.1388888888889" style="108" customWidth="1"/>
    <col min="7" max="7" width="5.42592592592593" style="108" customWidth="1"/>
    <col min="8" max="8" width="6.13888888888889" style="108" customWidth="1"/>
    <col min="9" max="9" width="5.13888888888889" style="108" customWidth="1"/>
    <col min="10" max="10" width="4.57407407407407" style="108" customWidth="1"/>
    <col min="11" max="11" width="3.28703703703704" style="108" customWidth="1"/>
    <col min="12" max="26" width="4.42592592592593" style="108" customWidth="1"/>
    <col min="27" max="27" width="0.138888888888889" style="108" customWidth="1"/>
    <col min="28" max="28" width="3.28703703703704" style="108" customWidth="1"/>
    <col min="29" max="29" width="2.57407407407407" style="108" customWidth="1"/>
    <col min="30" max="16384" width="9.13888888888889" style="108"/>
  </cols>
  <sheetData>
    <row r="2" spans="5:18">
      <c r="E2" s="109" t="s">
        <v>144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</row>
    <row r="3" ht="15" customHeight="1" spans="2:29">
      <c r="B3" s="110" t="s">
        <v>145</v>
      </c>
      <c r="C3" s="111" t="s">
        <v>146</v>
      </c>
      <c r="D3" s="111" t="s">
        <v>147</v>
      </c>
      <c r="E3" s="110" t="s">
        <v>148</v>
      </c>
      <c r="F3" s="111" t="s">
        <v>149</v>
      </c>
      <c r="G3" s="112" t="s">
        <v>77</v>
      </c>
      <c r="H3" s="113"/>
      <c r="I3" s="112" t="s">
        <v>150</v>
      </c>
      <c r="J3" s="113"/>
      <c r="K3" s="110" t="s">
        <v>151</v>
      </c>
      <c r="L3" s="136" t="s">
        <v>152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55"/>
      <c r="AB3" s="136"/>
      <c r="AC3" s="155"/>
    </row>
    <row r="4" ht="10.5" customHeight="1" spans="2:29">
      <c r="B4" s="114"/>
      <c r="C4" s="115"/>
      <c r="D4" s="115"/>
      <c r="E4" s="114"/>
      <c r="F4" s="115"/>
      <c r="G4" s="116"/>
      <c r="H4" s="117"/>
      <c r="I4" s="116"/>
      <c r="J4" s="117"/>
      <c r="K4" s="114"/>
      <c r="L4" s="138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56"/>
      <c r="AB4" s="157"/>
      <c r="AC4" s="158"/>
    </row>
    <row r="5" ht="28.5" customHeight="1" spans="2:29">
      <c r="B5" s="114"/>
      <c r="C5" s="115"/>
      <c r="D5" s="115"/>
      <c r="E5" s="114"/>
      <c r="F5" s="115"/>
      <c r="G5" s="116"/>
      <c r="H5" s="117"/>
      <c r="I5" s="116"/>
      <c r="J5" s="117"/>
      <c r="K5" s="114"/>
      <c r="L5" s="140" t="s">
        <v>81</v>
      </c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59"/>
      <c r="AB5" s="157"/>
      <c r="AC5" s="158"/>
    </row>
    <row r="6" spans="2:29">
      <c r="B6" s="118"/>
      <c r="C6" s="119"/>
      <c r="D6" s="119"/>
      <c r="E6" s="118"/>
      <c r="F6" s="119"/>
      <c r="G6" s="120"/>
      <c r="H6" s="121"/>
      <c r="I6" s="120"/>
      <c r="J6" s="121"/>
      <c r="K6" s="118"/>
      <c r="L6" s="165">
        <v>1</v>
      </c>
      <c r="M6" s="145">
        <v>2</v>
      </c>
      <c r="N6" s="144">
        <v>3</v>
      </c>
      <c r="O6" s="165">
        <v>4</v>
      </c>
      <c r="P6" s="165">
        <v>5</v>
      </c>
      <c r="Q6" s="144">
        <v>6</v>
      </c>
      <c r="R6" s="144">
        <v>7</v>
      </c>
      <c r="S6" s="144">
        <v>8</v>
      </c>
      <c r="T6" s="144">
        <v>9</v>
      </c>
      <c r="U6" s="144">
        <v>10</v>
      </c>
      <c r="V6" s="165">
        <v>11</v>
      </c>
      <c r="W6" s="165">
        <v>12</v>
      </c>
      <c r="X6" s="144">
        <v>13</v>
      </c>
      <c r="Y6" s="144">
        <v>14</v>
      </c>
      <c r="Z6" s="142">
        <v>15</v>
      </c>
      <c r="AA6" s="142"/>
      <c r="AB6" s="138"/>
      <c r="AC6" s="156"/>
    </row>
    <row r="7" ht="24.75" customHeight="1" spans="2:29">
      <c r="B7" s="122">
        <v>1</v>
      </c>
      <c r="C7" s="123"/>
      <c r="D7" s="122" t="s">
        <v>153</v>
      </c>
      <c r="E7" s="122"/>
      <c r="F7" s="124" t="s">
        <v>88</v>
      </c>
      <c r="G7" s="124">
        <v>10</v>
      </c>
      <c r="H7" s="124" t="s">
        <v>89</v>
      </c>
      <c r="I7" s="124" t="s">
        <v>154</v>
      </c>
      <c r="J7" s="124">
        <v>1.03</v>
      </c>
      <c r="K7" s="122"/>
      <c r="L7" s="146">
        <f>+L8/$G$7*$J$7</f>
        <v>0</v>
      </c>
      <c r="M7" s="146">
        <f t="shared" ref="M7:Z7" si="0">+M8/$G$7*$J$7</f>
        <v>0</v>
      </c>
      <c r="N7" s="146">
        <f t="shared" si="0"/>
        <v>0</v>
      </c>
      <c r="O7" s="146">
        <f t="shared" si="0"/>
        <v>0</v>
      </c>
      <c r="P7" s="146">
        <f t="shared" si="0"/>
        <v>0</v>
      </c>
      <c r="Q7" s="146">
        <f t="shared" si="0"/>
        <v>0</v>
      </c>
      <c r="R7" s="146">
        <f t="shared" si="0"/>
        <v>0</v>
      </c>
      <c r="S7" s="146">
        <f t="shared" si="0"/>
        <v>0</v>
      </c>
      <c r="T7" s="146">
        <f t="shared" si="0"/>
        <v>0</v>
      </c>
      <c r="U7" s="146">
        <f t="shared" si="0"/>
        <v>0</v>
      </c>
      <c r="V7" s="146">
        <f t="shared" si="0"/>
        <v>0</v>
      </c>
      <c r="W7" s="146">
        <f t="shared" si="0"/>
        <v>0</v>
      </c>
      <c r="X7" s="146">
        <f t="shared" si="0"/>
        <v>0</v>
      </c>
      <c r="Y7" s="146">
        <f t="shared" si="0"/>
        <v>0</v>
      </c>
      <c r="Z7" s="146">
        <f t="shared" si="0"/>
        <v>0</v>
      </c>
      <c r="AA7" s="171"/>
      <c r="AB7" s="172">
        <f>SUM(L7:AA7)</f>
        <v>0</v>
      </c>
      <c r="AC7" s="173"/>
    </row>
    <row r="8" ht="21.75" customHeight="1" spans="2:29">
      <c r="B8" s="125"/>
      <c r="C8" s="126"/>
      <c r="D8" s="125"/>
      <c r="E8" s="125"/>
      <c r="F8" s="127"/>
      <c r="G8" s="127"/>
      <c r="H8" s="127"/>
      <c r="I8" s="127"/>
      <c r="J8" s="127"/>
      <c r="K8" s="125"/>
      <c r="L8" s="166">
        <f>+'4-5 бетлар'!K6</f>
        <v>0</v>
      </c>
      <c r="M8" s="33">
        <f>+'4-5 бетлар'!L6</f>
        <v>0</v>
      </c>
      <c r="N8" s="33">
        <f>+'4-5 бетлар'!M6</f>
        <v>0</v>
      </c>
      <c r="O8" s="33">
        <f>+'4-5 бетлар'!N6</f>
        <v>0</v>
      </c>
      <c r="P8" s="33">
        <f>+'4-5 бетлар'!O6</f>
        <v>0</v>
      </c>
      <c r="Q8" s="33">
        <f>+'4-5 бетлар'!P6</f>
        <v>0</v>
      </c>
      <c r="R8" s="33">
        <f>+'4-5 бетлар'!Q6</f>
        <v>0</v>
      </c>
      <c r="S8" s="33">
        <f>+'4-5 бетлар'!R6</f>
        <v>0</v>
      </c>
      <c r="T8" s="33">
        <f>+'4-5 бетлар'!S6</f>
        <v>0</v>
      </c>
      <c r="U8" s="33">
        <f>+'4-5 бетлар'!T6</f>
        <v>0</v>
      </c>
      <c r="V8" s="33">
        <f>+'4-5 бетлар'!U6</f>
        <v>0</v>
      </c>
      <c r="W8" s="33">
        <f>+'4-5 бетлар'!V6</f>
        <v>0</v>
      </c>
      <c r="X8" s="33">
        <f>+'4-5 бетлар'!W6</f>
        <v>0</v>
      </c>
      <c r="Y8" s="33">
        <f>+'4-5 бетлар'!X6</f>
        <v>0</v>
      </c>
      <c r="Z8" s="174">
        <f>+'4-5 бетлар'!Y6</f>
        <v>0</v>
      </c>
      <c r="AA8" s="142"/>
      <c r="AB8" s="175">
        <f>SUM(L8:AA8)</f>
        <v>0</v>
      </c>
      <c r="AC8" s="175"/>
    </row>
    <row r="9" ht="21.75" customHeight="1" spans="2:29">
      <c r="B9" s="122">
        <v>2</v>
      </c>
      <c r="C9" s="123"/>
      <c r="D9" s="122" t="s">
        <v>153</v>
      </c>
      <c r="E9" s="122"/>
      <c r="F9" s="124" t="s">
        <v>155</v>
      </c>
      <c r="G9" s="124">
        <v>10</v>
      </c>
      <c r="H9" s="124" t="s">
        <v>125</v>
      </c>
      <c r="I9" s="124" t="s">
        <v>156</v>
      </c>
      <c r="J9" s="124">
        <v>0.884</v>
      </c>
      <c r="K9" s="148"/>
      <c r="L9" s="146">
        <f>+L10/$G$9*$J$9</f>
        <v>0</v>
      </c>
      <c r="M9" s="146">
        <f t="shared" ref="M9:Z9" si="1">+M10/$G$9*$J$9</f>
        <v>0</v>
      </c>
      <c r="N9" s="146">
        <f t="shared" si="1"/>
        <v>0</v>
      </c>
      <c r="O9" s="146">
        <f t="shared" si="1"/>
        <v>0</v>
      </c>
      <c r="P9" s="146">
        <f t="shared" si="1"/>
        <v>0</v>
      </c>
      <c r="Q9" s="146">
        <f t="shared" si="1"/>
        <v>0</v>
      </c>
      <c r="R9" s="146">
        <f t="shared" si="1"/>
        <v>0</v>
      </c>
      <c r="S9" s="146">
        <f t="shared" si="1"/>
        <v>0</v>
      </c>
      <c r="T9" s="146">
        <f t="shared" si="1"/>
        <v>0</v>
      </c>
      <c r="U9" s="146">
        <f t="shared" si="1"/>
        <v>0</v>
      </c>
      <c r="V9" s="146">
        <f t="shared" si="1"/>
        <v>0</v>
      </c>
      <c r="W9" s="146">
        <f t="shared" si="1"/>
        <v>0</v>
      </c>
      <c r="X9" s="146">
        <f t="shared" si="1"/>
        <v>0</v>
      </c>
      <c r="Y9" s="146">
        <f t="shared" si="1"/>
        <v>0</v>
      </c>
      <c r="Z9" s="146">
        <f t="shared" si="1"/>
        <v>0</v>
      </c>
      <c r="AA9" s="171"/>
      <c r="AB9" s="172">
        <f>SUM(L9:AA9)</f>
        <v>0</v>
      </c>
      <c r="AC9" s="173"/>
    </row>
    <row r="10" ht="27.75" customHeight="1" spans="2:29">
      <c r="B10" s="125"/>
      <c r="C10" s="126"/>
      <c r="D10" s="125"/>
      <c r="E10" s="125"/>
      <c r="F10" s="127"/>
      <c r="G10" s="127"/>
      <c r="H10" s="127"/>
      <c r="I10" s="127"/>
      <c r="J10" s="127"/>
      <c r="K10" s="150"/>
      <c r="L10" s="33">
        <f>+'4-5 бетлар'!K30</f>
        <v>0</v>
      </c>
      <c r="M10" s="33">
        <f>+'4-5 бетлар'!L30</f>
        <v>0</v>
      </c>
      <c r="N10" s="33">
        <f>+'4-5 бетлар'!M30</f>
        <v>0</v>
      </c>
      <c r="O10" s="33">
        <f>+'4-5 бетлар'!N30</f>
        <v>0</v>
      </c>
      <c r="P10" s="33">
        <f>+'4-5 бетлар'!O30</f>
        <v>0</v>
      </c>
      <c r="Q10" s="33">
        <f>+'4-5 бетлар'!P30</f>
        <v>0</v>
      </c>
      <c r="R10" s="33">
        <f>+'4-5 бетлар'!Q30</f>
        <v>0</v>
      </c>
      <c r="S10" s="33">
        <f>+'4-5 бетлар'!R30</f>
        <v>0</v>
      </c>
      <c r="T10" s="33">
        <f>+'4-5 бетлар'!S30</f>
        <v>0</v>
      </c>
      <c r="U10" s="33">
        <f>+'4-5 бетлар'!T30</f>
        <v>0</v>
      </c>
      <c r="V10" s="33">
        <f>+'4-5 бетлар'!U30</f>
        <v>0</v>
      </c>
      <c r="W10" s="33">
        <f>+'4-5 бетлар'!V30</f>
        <v>0</v>
      </c>
      <c r="X10" s="33">
        <f>+'4-5 бетлар'!W30</f>
        <v>0</v>
      </c>
      <c r="Y10" s="33">
        <f>+'4-5 бетлар'!X30</f>
        <v>0</v>
      </c>
      <c r="Z10" s="174">
        <f>+'4-5 бетлар'!Y30</f>
        <v>0</v>
      </c>
      <c r="AA10" s="142"/>
      <c r="AB10" s="175">
        <f>SUM(L10:AA10)</f>
        <v>0</v>
      </c>
      <c r="AC10" s="175"/>
    </row>
    <row r="11" spans="2:29">
      <c r="B11" s="122"/>
      <c r="C11" s="123"/>
      <c r="D11" s="122"/>
      <c r="E11" s="122"/>
      <c r="F11" s="122"/>
      <c r="G11" s="122"/>
      <c r="H11" s="122"/>
      <c r="I11" s="122"/>
      <c r="J11" s="122"/>
      <c r="K11" s="122"/>
      <c r="L11" s="167"/>
      <c r="M11" s="168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67"/>
      <c r="Z11" s="167"/>
      <c r="AA11" s="142"/>
      <c r="AB11" s="176"/>
      <c r="AC11" s="177"/>
    </row>
    <row r="12" spans="2:29">
      <c r="B12" s="125"/>
      <c r="C12" s="126"/>
      <c r="D12" s="125"/>
      <c r="E12" s="125"/>
      <c r="F12" s="125"/>
      <c r="G12" s="125"/>
      <c r="H12" s="125"/>
      <c r="I12" s="125"/>
      <c r="J12" s="125"/>
      <c r="K12" s="125"/>
      <c r="L12" s="167"/>
      <c r="M12" s="168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67"/>
      <c r="AA12" s="142"/>
      <c r="AB12" s="176"/>
      <c r="AC12" s="177"/>
    </row>
    <row r="13" spans="2:29">
      <c r="B13" s="122"/>
      <c r="C13" s="123"/>
      <c r="D13" s="122"/>
      <c r="E13" s="122"/>
      <c r="F13" s="122"/>
      <c r="G13" s="122"/>
      <c r="H13" s="122"/>
      <c r="I13" s="122"/>
      <c r="J13" s="122"/>
      <c r="K13" s="122"/>
      <c r="L13" s="167"/>
      <c r="M13" s="168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7"/>
      <c r="Y13" s="167"/>
      <c r="Z13" s="167"/>
      <c r="AA13" s="142"/>
      <c r="AB13" s="176"/>
      <c r="AC13" s="177"/>
    </row>
    <row r="14" spans="2:29">
      <c r="B14" s="125"/>
      <c r="C14" s="126"/>
      <c r="D14" s="125"/>
      <c r="E14" s="125"/>
      <c r="F14" s="125"/>
      <c r="G14" s="125"/>
      <c r="H14" s="125"/>
      <c r="I14" s="125"/>
      <c r="J14" s="125"/>
      <c r="K14" s="125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7"/>
      <c r="Y14" s="167"/>
      <c r="Z14" s="167"/>
      <c r="AA14" s="142"/>
      <c r="AB14" s="176"/>
      <c r="AC14" s="177"/>
    </row>
    <row r="15" spans="2:29">
      <c r="B15" s="122"/>
      <c r="C15" s="123"/>
      <c r="D15" s="122"/>
      <c r="E15" s="122"/>
      <c r="F15" s="122"/>
      <c r="G15" s="122"/>
      <c r="H15" s="122"/>
      <c r="I15" s="122"/>
      <c r="J15" s="122"/>
      <c r="K15" s="122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7"/>
      <c r="Y15" s="167"/>
      <c r="Z15" s="167"/>
      <c r="AA15" s="142"/>
      <c r="AB15" s="176"/>
      <c r="AC15" s="177"/>
    </row>
    <row r="16" spans="2:29">
      <c r="B16" s="125"/>
      <c r="C16" s="126"/>
      <c r="D16" s="125"/>
      <c r="E16" s="125"/>
      <c r="F16" s="125"/>
      <c r="G16" s="125"/>
      <c r="H16" s="125"/>
      <c r="I16" s="125"/>
      <c r="J16" s="125"/>
      <c r="K16" s="125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7"/>
      <c r="Y16" s="167"/>
      <c r="Z16" s="167"/>
      <c r="AA16" s="142"/>
      <c r="AB16" s="176"/>
      <c r="AC16" s="177"/>
    </row>
    <row r="17" spans="1:29">
      <c r="A17" s="163">
        <v>8</v>
      </c>
      <c r="B17" s="122"/>
      <c r="C17" s="123"/>
      <c r="D17" s="122"/>
      <c r="E17" s="122"/>
      <c r="F17" s="122"/>
      <c r="G17" s="122"/>
      <c r="H17" s="122"/>
      <c r="I17" s="122"/>
      <c r="J17" s="122"/>
      <c r="K17" s="122"/>
      <c r="L17" s="167"/>
      <c r="M17" s="167"/>
      <c r="N17" s="167"/>
      <c r="O17" s="167"/>
      <c r="P17" s="167"/>
      <c r="Q17" s="167"/>
      <c r="R17" s="167"/>
      <c r="S17" s="167"/>
      <c r="T17" s="167"/>
      <c r="U17" s="167"/>
      <c r="V17" s="167"/>
      <c r="W17" s="167"/>
      <c r="X17" s="167"/>
      <c r="Y17" s="167"/>
      <c r="Z17" s="167"/>
      <c r="AA17" s="142"/>
      <c r="AB17" s="176"/>
      <c r="AC17" s="177"/>
    </row>
    <row r="18" spans="2:29">
      <c r="B18" s="125"/>
      <c r="C18" s="126"/>
      <c r="D18" s="125"/>
      <c r="E18" s="125"/>
      <c r="F18" s="125"/>
      <c r="G18" s="125"/>
      <c r="H18" s="125"/>
      <c r="I18" s="125"/>
      <c r="J18" s="125"/>
      <c r="K18" s="125"/>
      <c r="L18" s="167"/>
      <c r="M18" s="167"/>
      <c r="N18" s="167"/>
      <c r="O18" s="167"/>
      <c r="P18" s="167"/>
      <c r="Q18" s="167"/>
      <c r="R18" s="167"/>
      <c r="S18" s="167"/>
      <c r="T18" s="167"/>
      <c r="U18" s="167"/>
      <c r="V18" s="167"/>
      <c r="W18" s="167"/>
      <c r="X18" s="167"/>
      <c r="Y18" s="167"/>
      <c r="Z18" s="167"/>
      <c r="AA18" s="142"/>
      <c r="AB18" s="176"/>
      <c r="AC18" s="177"/>
    </row>
    <row r="19" spans="2:29">
      <c r="B19" s="122"/>
      <c r="C19" s="123"/>
      <c r="D19" s="122"/>
      <c r="E19" s="122"/>
      <c r="F19" s="122"/>
      <c r="G19" s="122"/>
      <c r="H19" s="122"/>
      <c r="I19" s="122"/>
      <c r="J19" s="122"/>
      <c r="K19" s="122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67"/>
      <c r="W19" s="167"/>
      <c r="X19" s="167"/>
      <c r="Y19" s="167"/>
      <c r="Z19" s="167"/>
      <c r="AA19" s="142"/>
      <c r="AB19" s="176"/>
      <c r="AC19" s="177"/>
    </row>
    <row r="20" spans="2:29">
      <c r="B20" s="125"/>
      <c r="C20" s="126"/>
      <c r="D20" s="125"/>
      <c r="E20" s="125"/>
      <c r="F20" s="125"/>
      <c r="G20" s="125"/>
      <c r="H20" s="125"/>
      <c r="I20" s="125"/>
      <c r="J20" s="125"/>
      <c r="K20" s="125"/>
      <c r="L20" s="167"/>
      <c r="M20" s="167"/>
      <c r="N20" s="167"/>
      <c r="O20" s="167"/>
      <c r="P20" s="167"/>
      <c r="Q20" s="167"/>
      <c r="R20" s="167"/>
      <c r="S20" s="167"/>
      <c r="T20" s="167"/>
      <c r="U20" s="167"/>
      <c r="V20" s="167"/>
      <c r="W20" s="167"/>
      <c r="X20" s="167"/>
      <c r="Y20" s="167"/>
      <c r="Z20" s="167"/>
      <c r="AA20" s="142"/>
      <c r="AB20" s="176"/>
      <c r="AC20" s="177"/>
    </row>
    <row r="21" spans="2:29">
      <c r="B21" s="122"/>
      <c r="C21" s="123"/>
      <c r="D21" s="122"/>
      <c r="E21" s="122"/>
      <c r="F21" s="122"/>
      <c r="G21" s="122"/>
      <c r="H21" s="122"/>
      <c r="I21" s="122"/>
      <c r="J21" s="122"/>
      <c r="K21" s="122"/>
      <c r="L21" s="167"/>
      <c r="M21" s="167"/>
      <c r="N21" s="167"/>
      <c r="O21" s="167"/>
      <c r="P21" s="167"/>
      <c r="Q21" s="167"/>
      <c r="R21" s="167"/>
      <c r="S21" s="167"/>
      <c r="T21" s="167"/>
      <c r="U21" s="167"/>
      <c r="V21" s="167"/>
      <c r="W21" s="167"/>
      <c r="X21" s="167"/>
      <c r="Y21" s="167"/>
      <c r="Z21" s="167"/>
      <c r="AA21" s="142"/>
      <c r="AB21" s="176"/>
      <c r="AC21" s="177"/>
    </row>
    <row r="22" spans="2:29">
      <c r="B22" s="125"/>
      <c r="C22" s="126"/>
      <c r="D22" s="125"/>
      <c r="E22" s="125"/>
      <c r="F22" s="125"/>
      <c r="G22" s="125"/>
      <c r="H22" s="125"/>
      <c r="I22" s="125"/>
      <c r="J22" s="125"/>
      <c r="K22" s="125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42"/>
      <c r="AB22" s="176"/>
      <c r="AC22" s="177"/>
    </row>
    <row r="23" spans="2:29">
      <c r="B23" s="122"/>
      <c r="C23" s="123"/>
      <c r="D23" s="122"/>
      <c r="E23" s="122"/>
      <c r="F23" s="122"/>
      <c r="G23" s="122"/>
      <c r="H23" s="122"/>
      <c r="I23" s="122"/>
      <c r="J23" s="169"/>
      <c r="K23" s="169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7"/>
      <c r="Y23" s="167"/>
      <c r="Z23" s="167"/>
      <c r="AA23" s="142"/>
      <c r="AB23" s="176"/>
      <c r="AC23" s="177"/>
    </row>
    <row r="24" spans="2:29">
      <c r="B24" s="125"/>
      <c r="C24" s="126"/>
      <c r="D24" s="125"/>
      <c r="E24" s="125"/>
      <c r="F24" s="125"/>
      <c r="G24" s="125"/>
      <c r="H24" s="125"/>
      <c r="I24" s="125"/>
      <c r="J24" s="169"/>
      <c r="K24" s="169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167"/>
      <c r="AA24" s="142"/>
      <c r="AB24" s="176"/>
      <c r="AC24" s="177"/>
    </row>
    <row r="25" spans="2:29">
      <c r="B25" s="122"/>
      <c r="C25" s="123"/>
      <c r="D25" s="122"/>
      <c r="E25" s="122"/>
      <c r="F25" s="122"/>
      <c r="G25" s="122"/>
      <c r="H25" s="122"/>
      <c r="I25" s="122"/>
      <c r="J25" s="122"/>
      <c r="K25" s="122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Y25" s="167"/>
      <c r="Z25" s="167"/>
      <c r="AA25" s="142"/>
      <c r="AB25" s="176"/>
      <c r="AC25" s="177"/>
    </row>
    <row r="26" spans="2:29">
      <c r="B26" s="125"/>
      <c r="C26" s="126"/>
      <c r="D26" s="125"/>
      <c r="E26" s="125"/>
      <c r="F26" s="125"/>
      <c r="G26" s="125"/>
      <c r="H26" s="125"/>
      <c r="I26" s="125"/>
      <c r="J26" s="125"/>
      <c r="K26" s="125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42"/>
      <c r="AB26" s="176"/>
      <c r="AC26" s="177"/>
    </row>
    <row r="27" spans="2:29">
      <c r="B27" s="122"/>
      <c r="C27" s="123"/>
      <c r="D27" s="122"/>
      <c r="E27" s="122"/>
      <c r="F27" s="122"/>
      <c r="G27" s="122"/>
      <c r="H27" s="122"/>
      <c r="I27" s="122"/>
      <c r="J27" s="122"/>
      <c r="K27" s="122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42"/>
      <c r="AB27" s="176"/>
      <c r="AC27" s="177"/>
    </row>
    <row r="28" spans="2:29">
      <c r="B28" s="125"/>
      <c r="C28" s="126"/>
      <c r="D28" s="125"/>
      <c r="E28" s="125"/>
      <c r="F28" s="125"/>
      <c r="G28" s="125"/>
      <c r="H28" s="125"/>
      <c r="I28" s="125"/>
      <c r="J28" s="125"/>
      <c r="K28" s="125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42"/>
      <c r="AB28" s="176"/>
      <c r="AC28" s="177"/>
    </row>
    <row r="29" spans="2:29">
      <c r="B29" s="122"/>
      <c r="C29" s="123"/>
      <c r="D29" s="122"/>
      <c r="E29" s="122"/>
      <c r="F29" s="122"/>
      <c r="G29" s="122"/>
      <c r="H29" s="122"/>
      <c r="I29" s="122"/>
      <c r="J29" s="122"/>
      <c r="K29" s="122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42"/>
      <c r="AB29" s="176"/>
      <c r="AC29" s="177"/>
    </row>
    <row r="30" spans="2:29">
      <c r="B30" s="125"/>
      <c r="C30" s="126"/>
      <c r="D30" s="125"/>
      <c r="E30" s="125"/>
      <c r="F30" s="125"/>
      <c r="G30" s="125"/>
      <c r="H30" s="125"/>
      <c r="I30" s="125"/>
      <c r="J30" s="125"/>
      <c r="K30" s="125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42"/>
      <c r="AB30" s="176"/>
      <c r="AC30" s="177"/>
    </row>
    <row r="31" spans="2:29">
      <c r="B31" s="122"/>
      <c r="C31" s="123"/>
      <c r="D31" s="122"/>
      <c r="E31" s="122"/>
      <c r="F31" s="122"/>
      <c r="G31" s="122"/>
      <c r="H31" s="122"/>
      <c r="I31" s="122"/>
      <c r="J31" s="122"/>
      <c r="K31" s="122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42"/>
      <c r="AB31" s="176"/>
      <c r="AC31" s="177"/>
    </row>
    <row r="32" spans="2:29">
      <c r="B32" s="125"/>
      <c r="C32" s="126"/>
      <c r="D32" s="125"/>
      <c r="E32" s="125"/>
      <c r="F32" s="125"/>
      <c r="G32" s="125"/>
      <c r="H32" s="125"/>
      <c r="I32" s="125"/>
      <c r="J32" s="125"/>
      <c r="K32" s="125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7"/>
      <c r="Y32" s="167"/>
      <c r="Z32" s="167"/>
      <c r="AA32" s="142"/>
      <c r="AB32" s="178"/>
      <c r="AC32" s="178"/>
    </row>
    <row r="33" spans="2:29">
      <c r="B33" s="134"/>
      <c r="C33" s="164"/>
      <c r="D33" s="134"/>
      <c r="E33" s="134"/>
      <c r="F33" s="134"/>
      <c r="G33" s="134"/>
      <c r="H33" s="134"/>
      <c r="I33" s="134"/>
      <c r="J33" s="134"/>
      <c r="K33" s="134"/>
      <c r="L33" s="170"/>
      <c r="M33" s="170"/>
      <c r="N33" s="170"/>
      <c r="O33" s="170"/>
      <c r="P33" s="170"/>
      <c r="Q33" s="170"/>
      <c r="R33" s="170"/>
      <c r="S33" s="170"/>
      <c r="T33" s="170"/>
      <c r="U33" s="170"/>
      <c r="V33" s="170"/>
      <c r="W33" s="170"/>
      <c r="X33" s="170"/>
      <c r="Y33" s="170"/>
      <c r="Z33" s="170"/>
      <c r="AB33" s="134"/>
      <c r="AC33" s="134"/>
    </row>
    <row r="34" spans="2:29">
      <c r="B34" s="134"/>
      <c r="C34" s="164"/>
      <c r="D34" s="134"/>
      <c r="E34" s="134"/>
      <c r="F34" s="134"/>
      <c r="G34" s="134"/>
      <c r="H34" s="134"/>
      <c r="I34" s="134"/>
      <c r="J34" s="134"/>
      <c r="K34" s="134"/>
      <c r="L34" s="170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B34" s="134"/>
      <c r="AC34" s="134"/>
    </row>
    <row r="35" spans="3:28">
      <c r="C35" s="134" t="s">
        <v>157</v>
      </c>
      <c r="D35" s="134"/>
      <c r="E35" s="134"/>
      <c r="F35" s="134"/>
      <c r="G35" s="134"/>
      <c r="H35" s="134"/>
      <c r="I35" s="134"/>
      <c r="L35" s="134" t="s">
        <v>158</v>
      </c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</row>
    <row r="36" spans="6:23">
      <c r="F36" s="135" t="s">
        <v>16</v>
      </c>
      <c r="U36" s="154" t="s">
        <v>16</v>
      </c>
      <c r="V36" s="154"/>
      <c r="W36" s="154"/>
    </row>
  </sheetData>
  <mergeCells count="167">
    <mergeCell ref="E2:R2"/>
    <mergeCell ref="L5:AA5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C35:G35"/>
    <mergeCell ref="L35:AA35"/>
    <mergeCell ref="U36:W36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D3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E3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F3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J7:J8"/>
    <mergeCell ref="J9:J10"/>
    <mergeCell ref="J11:J12"/>
    <mergeCell ref="J13:J14"/>
    <mergeCell ref="J15:J16"/>
    <mergeCell ref="J17:J18"/>
    <mergeCell ref="J19:J20"/>
    <mergeCell ref="J21:J22"/>
    <mergeCell ref="J25:J26"/>
    <mergeCell ref="J27:J28"/>
    <mergeCell ref="J29:J30"/>
    <mergeCell ref="J31:J32"/>
    <mergeCell ref="K3:K6"/>
    <mergeCell ref="K7:K8"/>
    <mergeCell ref="K9:K10"/>
    <mergeCell ref="K11:K12"/>
    <mergeCell ref="K13:K14"/>
    <mergeCell ref="K15:K16"/>
    <mergeCell ref="K17:K18"/>
    <mergeCell ref="K19:K20"/>
    <mergeCell ref="K21:K22"/>
    <mergeCell ref="K25:K26"/>
    <mergeCell ref="K27:K28"/>
    <mergeCell ref="K29:K30"/>
    <mergeCell ref="K31:K32"/>
    <mergeCell ref="L3:AA4"/>
    <mergeCell ref="G3:H6"/>
    <mergeCell ref="I3:J6"/>
    <mergeCell ref="AB3:AC6"/>
  </mergeCells>
  <pageMargins left="0.54" right="0.2" top="0.590551181102362" bottom="0.31496062992126" header="0.31496062992126" footer="0.31496062992126"/>
  <pageSetup paperSize="9" scale="9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6"/>
  <dimension ref="A2:AC36"/>
  <sheetViews>
    <sheetView zoomScale="89" zoomScaleNormal="89" workbookViewId="0">
      <selection activeCell="U8" sqref="U8"/>
    </sheetView>
  </sheetViews>
  <sheetFormatPr defaultColWidth="9" defaultRowHeight="14.4"/>
  <cols>
    <col min="1" max="1" width="3.13888888888889" customWidth="1"/>
    <col min="2" max="2" width="2.71296296296296" customWidth="1"/>
    <col min="3" max="3" width="10.4259259259259" customWidth="1"/>
    <col min="4" max="4" width="15.8518518518519" customWidth="1"/>
    <col min="5" max="5" width="5.42592592592593" customWidth="1"/>
    <col min="6" max="6" width="16.1388888888889" customWidth="1"/>
    <col min="7" max="7" width="5.42592592592593" customWidth="1"/>
    <col min="8" max="8" width="6.13888888888889" customWidth="1"/>
    <col min="9" max="9" width="5.13888888888889" customWidth="1"/>
    <col min="10" max="10" width="4.85185185185185" customWidth="1"/>
    <col min="11" max="11" width="3.28703703703704" customWidth="1"/>
    <col min="12" max="26" width="4.42592592592593" customWidth="1"/>
    <col min="27" max="27" width="4.57407407407407" customWidth="1"/>
    <col min="28" max="28" width="3.28703703703704" customWidth="1"/>
    <col min="29" max="29" width="2.57407407407407" customWidth="1"/>
  </cols>
  <sheetData>
    <row r="2" spans="2:29">
      <c r="B2" s="108"/>
      <c r="C2" s="108"/>
      <c r="D2" s="108"/>
      <c r="E2" s="109" t="s">
        <v>144</v>
      </c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</row>
    <row r="3" ht="15" customHeight="1" spans="2:29">
      <c r="B3" s="110" t="s">
        <v>145</v>
      </c>
      <c r="C3" s="111" t="s">
        <v>146</v>
      </c>
      <c r="D3" s="111" t="s">
        <v>147</v>
      </c>
      <c r="E3" s="110" t="s">
        <v>148</v>
      </c>
      <c r="F3" s="111" t="s">
        <v>149</v>
      </c>
      <c r="G3" s="112" t="s">
        <v>77</v>
      </c>
      <c r="H3" s="113"/>
      <c r="I3" s="112" t="s">
        <v>150</v>
      </c>
      <c r="J3" s="113"/>
      <c r="K3" s="110" t="s">
        <v>151</v>
      </c>
      <c r="L3" s="136" t="s">
        <v>152</v>
      </c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55"/>
      <c r="AB3" s="136"/>
      <c r="AC3" s="155"/>
    </row>
    <row r="4" ht="10.5" customHeight="1" spans="2:29">
      <c r="B4" s="114"/>
      <c r="C4" s="115"/>
      <c r="D4" s="115"/>
      <c r="E4" s="114"/>
      <c r="F4" s="115"/>
      <c r="G4" s="116"/>
      <c r="H4" s="117"/>
      <c r="I4" s="116"/>
      <c r="J4" s="117"/>
      <c r="K4" s="114"/>
      <c r="L4" s="138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56"/>
      <c r="AB4" s="157"/>
      <c r="AC4" s="158"/>
    </row>
    <row r="5" ht="28.5" customHeight="1" spans="2:29">
      <c r="B5" s="114"/>
      <c r="C5" s="115"/>
      <c r="D5" s="115"/>
      <c r="E5" s="114"/>
      <c r="F5" s="115"/>
      <c r="G5" s="116"/>
      <c r="H5" s="117"/>
      <c r="I5" s="116"/>
      <c r="J5" s="117"/>
      <c r="K5" s="114"/>
      <c r="L5" s="140" t="s">
        <v>81</v>
      </c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59"/>
      <c r="AB5" s="157"/>
      <c r="AC5" s="158"/>
    </row>
    <row r="6" spans="2:29">
      <c r="B6" s="118"/>
      <c r="C6" s="119"/>
      <c r="D6" s="119"/>
      <c r="E6" s="118"/>
      <c r="F6" s="119"/>
      <c r="G6" s="120"/>
      <c r="H6" s="121"/>
      <c r="I6" s="120"/>
      <c r="J6" s="121"/>
      <c r="K6" s="118"/>
      <c r="L6" s="142">
        <v>16</v>
      </c>
      <c r="M6" s="143">
        <v>17</v>
      </c>
      <c r="N6" s="144">
        <v>18</v>
      </c>
      <c r="O6" s="144">
        <v>19</v>
      </c>
      <c r="P6" s="145">
        <v>20</v>
      </c>
      <c r="Q6" s="144">
        <v>21</v>
      </c>
      <c r="R6" s="144">
        <v>22</v>
      </c>
      <c r="S6" s="145">
        <v>23</v>
      </c>
      <c r="T6" s="144">
        <v>24</v>
      </c>
      <c r="U6" s="144">
        <v>25</v>
      </c>
      <c r="V6" s="145">
        <v>26</v>
      </c>
      <c r="W6" s="144">
        <v>27</v>
      </c>
      <c r="X6" s="144">
        <v>28</v>
      </c>
      <c r="Y6" s="143">
        <v>29</v>
      </c>
      <c r="Z6" s="142">
        <v>30</v>
      </c>
      <c r="AA6" s="142">
        <v>31</v>
      </c>
      <c r="AB6" s="138"/>
      <c r="AC6" s="156"/>
    </row>
    <row r="7" ht="24.75" customHeight="1" spans="2:29">
      <c r="B7" s="122">
        <v>1</v>
      </c>
      <c r="C7" s="123"/>
      <c r="D7" s="122" t="s">
        <v>153</v>
      </c>
      <c r="E7" s="122"/>
      <c r="F7" s="124" t="s">
        <v>88</v>
      </c>
      <c r="G7" s="124">
        <v>10</v>
      </c>
      <c r="H7" s="124" t="s">
        <v>89</v>
      </c>
      <c r="I7" s="124" t="s">
        <v>154</v>
      </c>
      <c r="J7" s="111">
        <v>1.03</v>
      </c>
      <c r="K7" s="122"/>
      <c r="L7" s="146">
        <f>+L8/$G$7*$J$7</f>
        <v>0</v>
      </c>
      <c r="M7" s="146">
        <f t="shared" ref="M7:AA7" si="0">+M8/$G$7*$J$7</f>
        <v>0</v>
      </c>
      <c r="N7" s="146">
        <f t="shared" si="0"/>
        <v>0</v>
      </c>
      <c r="O7" s="146">
        <f t="shared" si="0"/>
        <v>0</v>
      </c>
      <c r="P7" s="146">
        <f t="shared" si="0"/>
        <v>0</v>
      </c>
      <c r="Q7" s="146">
        <f t="shared" si="0"/>
        <v>0</v>
      </c>
      <c r="R7" s="146">
        <f t="shared" si="0"/>
        <v>0</v>
      </c>
      <c r="S7" s="146">
        <f t="shared" si="0"/>
        <v>0</v>
      </c>
      <c r="T7" s="146">
        <f t="shared" si="0"/>
        <v>0</v>
      </c>
      <c r="U7" s="146">
        <f t="shared" si="0"/>
        <v>0</v>
      </c>
      <c r="V7" s="146">
        <f t="shared" si="0"/>
        <v>0</v>
      </c>
      <c r="W7" s="146">
        <f t="shared" si="0"/>
        <v>0</v>
      </c>
      <c r="X7" s="146">
        <f t="shared" si="0"/>
        <v>0</v>
      </c>
      <c r="Y7" s="146">
        <f t="shared" si="0"/>
        <v>0</v>
      </c>
      <c r="Z7" s="146">
        <f t="shared" si="0"/>
        <v>0</v>
      </c>
      <c r="AA7" s="146">
        <f t="shared" si="0"/>
        <v>0</v>
      </c>
      <c r="AB7" s="160">
        <f>SUM(L7:AA7)</f>
        <v>0</v>
      </c>
      <c r="AC7" s="161"/>
    </row>
    <row r="8" ht="21.75" customHeight="1" spans="2:29">
      <c r="B8" s="125"/>
      <c r="C8" s="126"/>
      <c r="D8" s="125"/>
      <c r="E8" s="125"/>
      <c r="F8" s="127"/>
      <c r="G8" s="127"/>
      <c r="H8" s="127"/>
      <c r="I8" s="127"/>
      <c r="J8" s="119"/>
      <c r="K8" s="125"/>
      <c r="L8" s="33">
        <f>+'6-7 бетлар'!K6</f>
        <v>0</v>
      </c>
      <c r="M8" s="33">
        <f>+'6-7 бетлар'!L6</f>
        <v>0</v>
      </c>
      <c r="N8" s="33">
        <f>+'6-7 бетлар'!M6</f>
        <v>0</v>
      </c>
      <c r="O8" s="33">
        <f>+'6-7 бетлар'!N6</f>
        <v>0</v>
      </c>
      <c r="P8" s="33">
        <f>+'6-7 бетлар'!O6</f>
        <v>0</v>
      </c>
      <c r="Q8" s="33">
        <f>+'6-7 бетлар'!P6</f>
        <v>0</v>
      </c>
      <c r="R8" s="33">
        <f>+'6-7 бетлар'!Q6</f>
        <v>0</v>
      </c>
      <c r="S8" s="33">
        <f>+'6-7 бетлар'!R6</f>
        <v>0</v>
      </c>
      <c r="T8" s="33">
        <f>+'6-7 бетлар'!S6</f>
        <v>0</v>
      </c>
      <c r="U8" s="33">
        <f>+'6-7 бетлар'!T6</f>
        <v>0</v>
      </c>
      <c r="V8" s="33">
        <f>+'6-7 бетлар'!U6</f>
        <v>0</v>
      </c>
      <c r="W8" s="33">
        <f>+'6-7 бетлар'!V6</f>
        <v>0</v>
      </c>
      <c r="X8" s="33">
        <f>+'6-7 бетлар'!W6</f>
        <v>0</v>
      </c>
      <c r="Y8" s="33">
        <f>+'6-7 бетлар'!X6</f>
        <v>0</v>
      </c>
      <c r="Z8" s="33">
        <f>+'6-7 бетлар'!Y6</f>
        <v>0</v>
      </c>
      <c r="AA8" s="33">
        <f>+'6-7 бетлар'!Z6</f>
        <v>0</v>
      </c>
      <c r="AB8" s="162">
        <f>SUM(L8:AA8)</f>
        <v>0</v>
      </c>
      <c r="AC8" s="162"/>
    </row>
    <row r="9" ht="21.75" customHeight="1" spans="2:29">
      <c r="B9" s="122">
        <v>2</v>
      </c>
      <c r="C9" s="123"/>
      <c r="D9" s="122" t="s">
        <v>153</v>
      </c>
      <c r="E9" s="122"/>
      <c r="F9" s="124" t="s">
        <v>155</v>
      </c>
      <c r="G9" s="124">
        <v>10</v>
      </c>
      <c r="H9" s="124" t="s">
        <v>125</v>
      </c>
      <c r="I9" s="124" t="s">
        <v>156</v>
      </c>
      <c r="J9" s="147">
        <v>0.884</v>
      </c>
      <c r="K9" s="148"/>
      <c r="L9" s="146">
        <f>+L10/$G$9*$J$9</f>
        <v>0</v>
      </c>
      <c r="M9" s="146">
        <f t="shared" ref="M9:AA9" si="1">+M10/$G$9*$J$9</f>
        <v>0</v>
      </c>
      <c r="N9" s="146">
        <f t="shared" si="1"/>
        <v>0</v>
      </c>
      <c r="O9" s="146">
        <f t="shared" si="1"/>
        <v>0</v>
      </c>
      <c r="P9" s="146">
        <f t="shared" si="1"/>
        <v>0</v>
      </c>
      <c r="Q9" s="146">
        <f t="shared" si="1"/>
        <v>0</v>
      </c>
      <c r="R9" s="146">
        <f t="shared" si="1"/>
        <v>0</v>
      </c>
      <c r="S9" s="146">
        <f t="shared" si="1"/>
        <v>0</v>
      </c>
      <c r="T9" s="146">
        <f t="shared" si="1"/>
        <v>0</v>
      </c>
      <c r="U9" s="146">
        <f t="shared" si="1"/>
        <v>0</v>
      </c>
      <c r="V9" s="146">
        <f t="shared" si="1"/>
        <v>0</v>
      </c>
      <c r="W9" s="146">
        <f t="shared" si="1"/>
        <v>0</v>
      </c>
      <c r="X9" s="146">
        <f t="shared" si="1"/>
        <v>0</v>
      </c>
      <c r="Y9" s="146">
        <f t="shared" si="1"/>
        <v>0</v>
      </c>
      <c r="Z9" s="146">
        <f t="shared" si="1"/>
        <v>0</v>
      </c>
      <c r="AA9" s="146">
        <f t="shared" si="1"/>
        <v>0</v>
      </c>
      <c r="AB9" s="160">
        <f>SUM(L9:AA9)</f>
        <v>0</v>
      </c>
      <c r="AC9" s="161"/>
    </row>
    <row r="10" ht="27.75" customHeight="1" spans="2:29">
      <c r="B10" s="125"/>
      <c r="C10" s="126"/>
      <c r="D10" s="125"/>
      <c r="E10" s="125"/>
      <c r="F10" s="127"/>
      <c r="G10" s="127"/>
      <c r="H10" s="127"/>
      <c r="I10" s="127"/>
      <c r="J10" s="149"/>
      <c r="K10" s="150"/>
      <c r="L10" s="33">
        <f>+'6-7 бетлар'!K30</f>
        <v>0</v>
      </c>
      <c r="M10" s="33">
        <f>+'6-7 бетлар'!L30</f>
        <v>0</v>
      </c>
      <c r="N10" s="33">
        <f>+'6-7 бетлар'!M30</f>
        <v>0</v>
      </c>
      <c r="O10" s="33">
        <f>+'6-7 бетлар'!N30</f>
        <v>0</v>
      </c>
      <c r="P10" s="33">
        <f>+'6-7 бетлар'!O30</f>
        <v>0</v>
      </c>
      <c r="Q10" s="33">
        <f>+'6-7 бетлар'!P30</f>
        <v>0</v>
      </c>
      <c r="R10" s="33">
        <f>+'6-7 бетлар'!Q30</f>
        <v>0</v>
      </c>
      <c r="S10" s="33">
        <f>+'6-7 бетлар'!R30</f>
        <v>0</v>
      </c>
      <c r="T10" s="33">
        <f>+'6-7 бетлар'!S30</f>
        <v>0</v>
      </c>
      <c r="U10" s="33">
        <f>+'6-7 бетлар'!T30</f>
        <v>0</v>
      </c>
      <c r="V10" s="33">
        <f>+'6-7 бетлар'!U30</f>
        <v>0</v>
      </c>
      <c r="W10" s="33">
        <f>+'6-7 бетлар'!V30</f>
        <v>0</v>
      </c>
      <c r="X10" s="33">
        <f>+'6-7 бетлар'!W30</f>
        <v>0</v>
      </c>
      <c r="Y10" s="33">
        <f>+'6-7 бетлар'!X30</f>
        <v>0</v>
      </c>
      <c r="Z10" s="33">
        <f>+'6-7 бетлар'!Y30</f>
        <v>0</v>
      </c>
      <c r="AA10" s="33">
        <f>+'6-7 бетлар'!Z30</f>
        <v>0</v>
      </c>
      <c r="AB10" s="162">
        <f>SUM(L10:AA10)</f>
        <v>0</v>
      </c>
      <c r="AC10" s="162"/>
    </row>
    <row r="11" spans="2:29">
      <c r="B11" s="128"/>
      <c r="C11" s="129"/>
      <c r="D11" s="128"/>
      <c r="E11" s="128"/>
      <c r="F11" s="128"/>
      <c r="G11" s="128"/>
      <c r="H11" s="128"/>
      <c r="I11" s="128"/>
      <c r="J11" s="128"/>
      <c r="K11" s="128"/>
      <c r="L11" s="33"/>
      <c r="M11" s="15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54"/>
      <c r="AC11" s="55"/>
    </row>
    <row r="12" spans="2:29">
      <c r="B12" s="130"/>
      <c r="C12" s="131"/>
      <c r="D12" s="130"/>
      <c r="E12" s="130"/>
      <c r="F12" s="130"/>
      <c r="G12" s="130"/>
      <c r="H12" s="130"/>
      <c r="I12" s="130"/>
      <c r="J12" s="130"/>
      <c r="K12" s="130"/>
      <c r="L12" s="33"/>
      <c r="M12" s="151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54"/>
      <c r="AC12" s="55"/>
    </row>
    <row r="13" spans="2:29">
      <c r="B13" s="128"/>
      <c r="C13" s="129"/>
      <c r="D13" s="128"/>
      <c r="E13" s="128"/>
      <c r="F13" s="128"/>
      <c r="G13" s="128"/>
      <c r="H13" s="128"/>
      <c r="I13" s="128"/>
      <c r="J13" s="128"/>
      <c r="K13" s="128"/>
      <c r="L13" s="33"/>
      <c r="M13" s="151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54"/>
      <c r="AC13" s="55"/>
    </row>
    <row r="14" spans="2:29">
      <c r="B14" s="130"/>
      <c r="C14" s="131"/>
      <c r="D14" s="130"/>
      <c r="E14" s="130"/>
      <c r="F14" s="130"/>
      <c r="G14" s="130"/>
      <c r="H14" s="130"/>
      <c r="I14" s="130"/>
      <c r="J14" s="130"/>
      <c r="K14" s="130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54"/>
      <c r="AC14" s="55"/>
    </row>
    <row r="15" spans="2:29">
      <c r="B15" s="128"/>
      <c r="C15" s="129"/>
      <c r="D15" s="128"/>
      <c r="E15" s="128"/>
      <c r="F15" s="128"/>
      <c r="G15" s="128"/>
      <c r="H15" s="128"/>
      <c r="I15" s="128"/>
      <c r="J15" s="128"/>
      <c r="K15" s="128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54"/>
      <c r="AC15" s="55"/>
    </row>
    <row r="16" spans="2:29">
      <c r="B16" s="130"/>
      <c r="C16" s="131"/>
      <c r="D16" s="130"/>
      <c r="E16" s="130"/>
      <c r="F16" s="130"/>
      <c r="G16" s="130"/>
      <c r="H16" s="130"/>
      <c r="I16" s="130"/>
      <c r="J16" s="130"/>
      <c r="K16" s="130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54"/>
      <c r="AC16" s="55"/>
    </row>
    <row r="17" spans="2:29">
      <c r="B17" s="128"/>
      <c r="C17" s="129"/>
      <c r="D17" s="128"/>
      <c r="E17" s="128"/>
      <c r="F17" s="128"/>
      <c r="G17" s="128"/>
      <c r="H17" s="128"/>
      <c r="I17" s="128"/>
      <c r="J17" s="128"/>
      <c r="K17" s="128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54"/>
      <c r="AC17" s="55"/>
    </row>
    <row r="18" spans="2:29">
      <c r="B18" s="130"/>
      <c r="C18" s="131"/>
      <c r="D18" s="130"/>
      <c r="E18" s="130"/>
      <c r="F18" s="130"/>
      <c r="G18" s="130"/>
      <c r="H18" s="130"/>
      <c r="I18" s="130"/>
      <c r="J18" s="130"/>
      <c r="K18" s="130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54"/>
      <c r="AC18" s="55"/>
    </row>
    <row r="19" spans="1:29">
      <c r="A19" s="13">
        <v>9</v>
      </c>
      <c r="B19" s="128"/>
      <c r="C19" s="129"/>
      <c r="D19" s="128"/>
      <c r="E19" s="128"/>
      <c r="F19" s="128"/>
      <c r="G19" s="128"/>
      <c r="H19" s="128"/>
      <c r="I19" s="128"/>
      <c r="J19" s="128"/>
      <c r="K19" s="128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54"/>
      <c r="AC19" s="55"/>
    </row>
    <row r="20" spans="2:29">
      <c r="B20" s="130"/>
      <c r="C20" s="131"/>
      <c r="D20" s="130"/>
      <c r="E20" s="130"/>
      <c r="F20" s="130"/>
      <c r="G20" s="130"/>
      <c r="H20" s="130"/>
      <c r="I20" s="130"/>
      <c r="J20" s="130"/>
      <c r="K20" s="130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54"/>
      <c r="AC20" s="55"/>
    </row>
    <row r="21" spans="2:29">
      <c r="B21" s="128"/>
      <c r="C21" s="129"/>
      <c r="D21" s="128"/>
      <c r="E21" s="128"/>
      <c r="F21" s="128"/>
      <c r="G21" s="128"/>
      <c r="H21" s="128"/>
      <c r="I21" s="128"/>
      <c r="J21" s="128"/>
      <c r="K21" s="128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54"/>
      <c r="AC21" s="55"/>
    </row>
    <row r="22" spans="2:29">
      <c r="B22" s="130"/>
      <c r="C22" s="131"/>
      <c r="D22" s="130"/>
      <c r="E22" s="130"/>
      <c r="F22" s="130"/>
      <c r="G22" s="130"/>
      <c r="H22" s="130"/>
      <c r="I22" s="130"/>
      <c r="J22" s="130"/>
      <c r="K22" s="130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54"/>
      <c r="AC22" s="55"/>
    </row>
    <row r="23" spans="2:29">
      <c r="B23" s="128"/>
      <c r="C23" s="129"/>
      <c r="D23" s="128"/>
      <c r="E23" s="128"/>
      <c r="F23" s="128"/>
      <c r="G23" s="128"/>
      <c r="H23" s="128"/>
      <c r="I23" s="128"/>
      <c r="J23" s="152"/>
      <c r="K23" s="152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54"/>
      <c r="AC23" s="55"/>
    </row>
    <row r="24" spans="2:29">
      <c r="B24" s="130"/>
      <c r="C24" s="131"/>
      <c r="D24" s="130"/>
      <c r="E24" s="130"/>
      <c r="F24" s="130"/>
      <c r="G24" s="130"/>
      <c r="H24" s="130"/>
      <c r="I24" s="130"/>
      <c r="J24" s="152"/>
      <c r="K24" s="152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54"/>
      <c r="AC24" s="55"/>
    </row>
    <row r="25" spans="2:29">
      <c r="B25" s="128"/>
      <c r="C25" s="129"/>
      <c r="D25" s="128"/>
      <c r="E25" s="128"/>
      <c r="F25" s="128"/>
      <c r="G25" s="128"/>
      <c r="H25" s="128"/>
      <c r="I25" s="128"/>
      <c r="J25" s="128"/>
      <c r="K25" s="128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54"/>
      <c r="AC25" s="55"/>
    </row>
    <row r="26" spans="2:29">
      <c r="B26" s="130"/>
      <c r="C26" s="131"/>
      <c r="D26" s="130"/>
      <c r="E26" s="130"/>
      <c r="F26" s="130"/>
      <c r="G26" s="130"/>
      <c r="H26" s="130"/>
      <c r="I26" s="130"/>
      <c r="J26" s="130"/>
      <c r="K26" s="130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54"/>
      <c r="AC26" s="55"/>
    </row>
    <row r="27" spans="2:29">
      <c r="B27" s="128"/>
      <c r="C27" s="129"/>
      <c r="D27" s="128"/>
      <c r="E27" s="128"/>
      <c r="F27" s="128"/>
      <c r="G27" s="128"/>
      <c r="H27" s="128"/>
      <c r="I27" s="128"/>
      <c r="J27" s="128"/>
      <c r="K27" s="128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54"/>
      <c r="AC27" s="55"/>
    </row>
    <row r="28" spans="2:29">
      <c r="B28" s="130"/>
      <c r="C28" s="131"/>
      <c r="D28" s="130"/>
      <c r="E28" s="130"/>
      <c r="F28" s="130"/>
      <c r="G28" s="130"/>
      <c r="H28" s="130"/>
      <c r="I28" s="130"/>
      <c r="J28" s="130"/>
      <c r="K28" s="130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54"/>
      <c r="AC28" s="55"/>
    </row>
    <row r="29" spans="2:29">
      <c r="B29" s="128"/>
      <c r="C29" s="129"/>
      <c r="D29" s="128"/>
      <c r="E29" s="128"/>
      <c r="F29" s="128"/>
      <c r="G29" s="128"/>
      <c r="H29" s="128"/>
      <c r="I29" s="128"/>
      <c r="J29" s="128"/>
      <c r="K29" s="128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54"/>
      <c r="AC29" s="55"/>
    </row>
    <row r="30" spans="2:29">
      <c r="B30" s="130"/>
      <c r="C30" s="131"/>
      <c r="D30" s="130"/>
      <c r="E30" s="130"/>
      <c r="F30" s="130"/>
      <c r="G30" s="130"/>
      <c r="H30" s="130"/>
      <c r="I30" s="130"/>
      <c r="J30" s="130"/>
      <c r="K30" s="130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54"/>
      <c r="AC30" s="55"/>
    </row>
    <row r="31" spans="2:29">
      <c r="B31" s="128"/>
      <c r="C31" s="129"/>
      <c r="D31" s="128"/>
      <c r="E31" s="128"/>
      <c r="F31" s="128"/>
      <c r="G31" s="128"/>
      <c r="H31" s="128"/>
      <c r="I31" s="128"/>
      <c r="J31" s="128"/>
      <c r="K31" s="128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54"/>
      <c r="AC31" s="55"/>
    </row>
    <row r="32" spans="2:29">
      <c r="B32" s="130"/>
      <c r="C32" s="131"/>
      <c r="D32" s="130"/>
      <c r="E32" s="130"/>
      <c r="F32" s="130"/>
      <c r="G32" s="130"/>
      <c r="H32" s="130"/>
      <c r="I32" s="130"/>
      <c r="J32" s="130"/>
      <c r="K32" s="130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54"/>
      <c r="AC32" s="55"/>
    </row>
    <row r="33" spans="3:28">
      <c r="C33" s="132"/>
      <c r="D33" s="133"/>
      <c r="E33" s="133"/>
      <c r="F33" s="133"/>
      <c r="G33" s="133"/>
      <c r="H33" s="133"/>
      <c r="I33" s="133"/>
      <c r="J33" s="133"/>
      <c r="K33" s="13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B33" s="133"/>
    </row>
    <row r="34" spans="3:26">
      <c r="C34" s="132"/>
      <c r="D34" s="133"/>
      <c r="E34" s="133"/>
      <c r="F34" s="133"/>
      <c r="G34" s="133"/>
      <c r="H34" s="133"/>
      <c r="I34" s="133"/>
      <c r="J34" s="133"/>
      <c r="K34" s="13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</row>
    <row r="35" spans="3:27">
      <c r="C35" s="134" t="s">
        <v>157</v>
      </c>
      <c r="D35" s="134"/>
      <c r="E35" s="134"/>
      <c r="F35" s="134"/>
      <c r="G35" s="134"/>
      <c r="H35" s="134"/>
      <c r="I35" s="134"/>
      <c r="J35" s="108"/>
      <c r="K35" s="108"/>
      <c r="L35" s="134" t="s">
        <v>158</v>
      </c>
      <c r="M35" s="134"/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</row>
    <row r="36" spans="3:27">
      <c r="C36" s="108"/>
      <c r="D36" s="108"/>
      <c r="E36" s="108"/>
      <c r="F36" s="135" t="s">
        <v>16</v>
      </c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54" t="s">
        <v>16</v>
      </c>
      <c r="V36" s="154"/>
      <c r="W36" s="154"/>
      <c r="X36" s="108"/>
      <c r="Y36" s="108"/>
      <c r="Z36" s="108"/>
      <c r="AA36" s="108"/>
    </row>
  </sheetData>
  <mergeCells count="167">
    <mergeCell ref="E2:R2"/>
    <mergeCell ref="L5:AA5"/>
    <mergeCell ref="AB7:AC7"/>
    <mergeCell ref="AB8:AC8"/>
    <mergeCell ref="AB9:AC9"/>
    <mergeCell ref="AB10:AC10"/>
    <mergeCell ref="AB11:AC11"/>
    <mergeCell ref="AB12:AC12"/>
    <mergeCell ref="AB13:AC13"/>
    <mergeCell ref="AB14:AC14"/>
    <mergeCell ref="AB15:AC15"/>
    <mergeCell ref="AB16:AC16"/>
    <mergeCell ref="AB17:AC17"/>
    <mergeCell ref="AB18:AC18"/>
    <mergeCell ref="AB19:AC19"/>
    <mergeCell ref="AB20:AC20"/>
    <mergeCell ref="AB21:AC21"/>
    <mergeCell ref="AB22:AC22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C35:G35"/>
    <mergeCell ref="L35:AA35"/>
    <mergeCell ref="U36:W36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D3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E3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F3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J7:J8"/>
    <mergeCell ref="J9:J10"/>
    <mergeCell ref="J11:J12"/>
    <mergeCell ref="J13:J14"/>
    <mergeCell ref="J15:J16"/>
    <mergeCell ref="J17:J18"/>
    <mergeCell ref="J19:J20"/>
    <mergeCell ref="J21:J22"/>
    <mergeCell ref="J25:J26"/>
    <mergeCell ref="J27:J28"/>
    <mergeCell ref="J29:J30"/>
    <mergeCell ref="J31:J32"/>
    <mergeCell ref="K3:K6"/>
    <mergeCell ref="K7:K8"/>
    <mergeCell ref="K9:K10"/>
    <mergeCell ref="K11:K12"/>
    <mergeCell ref="K13:K14"/>
    <mergeCell ref="K15:K16"/>
    <mergeCell ref="K17:K18"/>
    <mergeCell ref="K19:K20"/>
    <mergeCell ref="K21:K22"/>
    <mergeCell ref="K25:K26"/>
    <mergeCell ref="K27:K28"/>
    <mergeCell ref="K29:K30"/>
    <mergeCell ref="K31:K32"/>
    <mergeCell ref="G3:H6"/>
    <mergeCell ref="I3:J6"/>
    <mergeCell ref="L3:AA4"/>
    <mergeCell ref="AB3:AC6"/>
  </mergeCells>
  <pageMargins left="0.46" right="0.28" top="0.51" bottom="0.29" header="0.31496062992126" footer="0.31496062992126"/>
  <pageSetup paperSize="9" scale="9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7"/>
  <dimension ref="A1:K20"/>
  <sheetViews>
    <sheetView workbookViewId="0">
      <selection activeCell="E3" sqref="E3:J6"/>
    </sheetView>
  </sheetViews>
  <sheetFormatPr defaultColWidth="9" defaultRowHeight="14.4"/>
  <cols>
    <col min="1" max="1" width="4.28703703703704" customWidth="1"/>
    <col min="2" max="2" width="4.85185185185185" customWidth="1"/>
    <col min="3" max="3" width="31.5740740740741" customWidth="1"/>
    <col min="4" max="4" width="18.712962962963" customWidth="1"/>
    <col min="5" max="5" width="31.8518518518519" customWidth="1"/>
    <col min="6" max="6" width="6.71296296296296" customWidth="1"/>
    <col min="7" max="7" width="9.28703703703704" customWidth="1"/>
    <col min="8" max="8" width="9.13888888888889" customWidth="1"/>
    <col min="9" max="9" width="10.8518518518519" customWidth="1"/>
    <col min="10" max="10" width="8.28703703703704" customWidth="1"/>
    <col min="11" max="11" width="8.42592592592593" customWidth="1"/>
  </cols>
  <sheetData>
    <row r="1" spans="2:11">
      <c r="B1" s="1"/>
      <c r="C1" s="1"/>
      <c r="D1" s="98" t="s">
        <v>159</v>
      </c>
      <c r="E1" s="98"/>
      <c r="F1" s="98"/>
      <c r="G1" s="98"/>
      <c r="H1" s="1"/>
      <c r="I1" s="1"/>
      <c r="J1" s="1"/>
      <c r="K1" s="1"/>
    </row>
    <row r="2" ht="135.05" spans="2:11">
      <c r="B2" s="99" t="s">
        <v>160</v>
      </c>
      <c r="C2" s="100" t="s">
        <v>161</v>
      </c>
      <c r="D2" s="101" t="s">
        <v>162</v>
      </c>
      <c r="E2" s="101" t="s">
        <v>163</v>
      </c>
      <c r="F2" s="99" t="s">
        <v>164</v>
      </c>
      <c r="G2" s="99" t="s">
        <v>77</v>
      </c>
      <c r="H2" s="99" t="s">
        <v>165</v>
      </c>
      <c r="I2" s="99" t="s">
        <v>166</v>
      </c>
      <c r="J2" s="99" t="s">
        <v>167</v>
      </c>
      <c r="K2" s="99" t="s">
        <v>168</v>
      </c>
    </row>
    <row r="3" ht="35.25" customHeight="1" spans="2:11">
      <c r="B3" s="102">
        <v>1</v>
      </c>
      <c r="C3" s="102" t="s">
        <v>52</v>
      </c>
      <c r="D3" s="102" t="s">
        <v>169</v>
      </c>
      <c r="E3" s="102" t="s">
        <v>170</v>
      </c>
      <c r="F3" s="102" t="s">
        <v>171</v>
      </c>
      <c r="G3" s="102" t="s">
        <v>172</v>
      </c>
      <c r="H3" s="102">
        <v>300</v>
      </c>
      <c r="I3" s="102">
        <v>250</v>
      </c>
      <c r="J3" s="102" t="s">
        <v>173</v>
      </c>
      <c r="K3" s="102"/>
    </row>
    <row r="4" ht="32.25" customHeight="1" spans="2:11">
      <c r="B4" s="102">
        <v>2</v>
      </c>
      <c r="C4" s="102" t="s">
        <v>174</v>
      </c>
      <c r="D4" s="102" t="s">
        <v>169</v>
      </c>
      <c r="E4" s="102" t="s">
        <v>170</v>
      </c>
      <c r="F4" s="102" t="s">
        <v>171</v>
      </c>
      <c r="G4" s="102" t="s">
        <v>172</v>
      </c>
      <c r="H4" s="102">
        <v>300</v>
      </c>
      <c r="I4" s="102">
        <v>250</v>
      </c>
      <c r="J4" s="102" t="s">
        <v>173</v>
      </c>
      <c r="K4" s="102"/>
    </row>
    <row r="5" ht="24" customHeight="1" spans="2:11">
      <c r="B5" s="102">
        <v>3</v>
      </c>
      <c r="C5" s="102" t="s">
        <v>62</v>
      </c>
      <c r="D5" s="102" t="s">
        <v>169</v>
      </c>
      <c r="E5" s="102" t="s">
        <v>170</v>
      </c>
      <c r="F5" s="102" t="s">
        <v>171</v>
      </c>
      <c r="G5" s="102" t="s">
        <v>172</v>
      </c>
      <c r="H5" s="102">
        <v>300</v>
      </c>
      <c r="I5" s="102">
        <v>250</v>
      </c>
      <c r="J5" s="102" t="s">
        <v>173</v>
      </c>
      <c r="K5" s="102"/>
    </row>
    <row r="6" ht="24" customHeight="1" spans="1:11">
      <c r="A6" s="103">
        <v>10</v>
      </c>
      <c r="B6" s="102">
        <v>4</v>
      </c>
      <c r="C6" s="102" t="s">
        <v>55</v>
      </c>
      <c r="D6" s="102" t="s">
        <v>169</v>
      </c>
      <c r="E6" s="102" t="s">
        <v>170</v>
      </c>
      <c r="F6" s="102" t="s">
        <v>171</v>
      </c>
      <c r="G6" s="102" t="s">
        <v>172</v>
      </c>
      <c r="H6" s="102">
        <v>300</v>
      </c>
      <c r="I6" s="102">
        <v>250</v>
      </c>
      <c r="J6" s="102" t="s">
        <v>173</v>
      </c>
      <c r="K6" s="102"/>
    </row>
    <row r="7" ht="24" customHeight="1" spans="2:11">
      <c r="B7" s="102"/>
      <c r="C7" s="102"/>
      <c r="D7" s="102"/>
      <c r="E7" s="102"/>
      <c r="F7" s="102"/>
      <c r="G7" s="102"/>
      <c r="H7" s="102"/>
      <c r="I7" s="102"/>
      <c r="J7" s="102"/>
      <c r="K7" s="102"/>
    </row>
    <row r="8" ht="24" customHeight="1" spans="2:11">
      <c r="B8" s="102"/>
      <c r="C8" s="102"/>
      <c r="D8" s="102"/>
      <c r="E8" s="102"/>
      <c r="F8" s="102"/>
      <c r="G8" s="102"/>
      <c r="H8" s="102"/>
      <c r="I8" s="102"/>
      <c r="J8" s="102"/>
      <c r="K8" s="102"/>
    </row>
    <row r="9" ht="24" customHeight="1" spans="2:11">
      <c r="B9" s="102"/>
      <c r="C9" s="102"/>
      <c r="D9" s="102"/>
      <c r="E9" s="102"/>
      <c r="F9" s="102"/>
      <c r="G9" s="102"/>
      <c r="H9" s="102"/>
      <c r="I9" s="102"/>
      <c r="J9" s="102"/>
      <c r="K9" s="102"/>
    </row>
    <row r="10" ht="24" customHeight="1" spans="2:11">
      <c r="B10" s="102"/>
      <c r="C10" s="102"/>
      <c r="D10" s="102"/>
      <c r="E10" s="102"/>
      <c r="F10" s="102"/>
      <c r="G10" s="102"/>
      <c r="H10" s="102"/>
      <c r="I10" s="102"/>
      <c r="J10" s="102"/>
      <c r="K10" s="102"/>
    </row>
    <row r="11" ht="24" customHeight="1" spans="2:11">
      <c r="B11" s="102"/>
      <c r="C11" s="102"/>
      <c r="D11" s="102"/>
      <c r="E11" s="102"/>
      <c r="F11" s="102"/>
      <c r="G11" s="102"/>
      <c r="H11" s="102"/>
      <c r="I11" s="102"/>
      <c r="J11" s="102"/>
      <c r="K11" s="102"/>
    </row>
    <row r="12" ht="24" customHeight="1" spans="2:11">
      <c r="B12" s="102"/>
      <c r="C12" s="102"/>
      <c r="D12" s="102"/>
      <c r="E12" s="102"/>
      <c r="F12" s="102"/>
      <c r="G12" s="102"/>
      <c r="H12" s="102"/>
      <c r="I12" s="102"/>
      <c r="J12" s="102"/>
      <c r="K12" s="102"/>
    </row>
    <row r="13" ht="24" customHeight="1" spans="2:11">
      <c r="B13" s="102"/>
      <c r="C13" s="102"/>
      <c r="D13" s="102"/>
      <c r="E13" s="102"/>
      <c r="F13" s="102"/>
      <c r="G13" s="102"/>
      <c r="H13" s="102"/>
      <c r="I13" s="102"/>
      <c r="J13" s="102"/>
      <c r="K13" s="102"/>
    </row>
    <row r="14" ht="24" customHeight="1" spans="2:11">
      <c r="B14" s="102"/>
      <c r="C14" s="102"/>
      <c r="D14" s="102"/>
      <c r="E14" s="102"/>
      <c r="F14" s="102"/>
      <c r="G14" s="102"/>
      <c r="H14" s="102"/>
      <c r="I14" s="102"/>
      <c r="J14" s="102"/>
      <c r="K14" s="102"/>
    </row>
    <row r="15" ht="24" customHeight="1" spans="2:11">
      <c r="B15" s="102"/>
      <c r="C15" s="102"/>
      <c r="D15" s="102"/>
      <c r="E15" s="102"/>
      <c r="F15" s="102"/>
      <c r="G15" s="102"/>
      <c r="H15" s="102"/>
      <c r="I15" s="102"/>
      <c r="J15" s="102"/>
      <c r="K15" s="102"/>
    </row>
    <row r="16" ht="9.75" customHeight="1" spans="2:11">
      <c r="B16" s="104"/>
      <c r="C16" s="104"/>
      <c r="D16" s="104"/>
      <c r="E16" s="104"/>
      <c r="F16" s="104"/>
      <c r="G16" s="104"/>
      <c r="H16" s="104"/>
      <c r="I16" s="104"/>
      <c r="J16" s="104"/>
      <c r="K16" s="104"/>
    </row>
    <row r="17" spans="2:11">
      <c r="B17" s="39"/>
      <c r="C17" s="105" t="s">
        <v>175</v>
      </c>
      <c r="D17" s="105"/>
      <c r="E17" s="105"/>
      <c r="F17" s="105"/>
      <c r="G17" s="39"/>
      <c r="H17" s="39"/>
      <c r="I17" s="39"/>
      <c r="J17" s="39"/>
      <c r="K17" s="39"/>
    </row>
    <row r="18" spans="2:11">
      <c r="B18" s="39"/>
      <c r="C18" s="39"/>
      <c r="D18" s="1"/>
      <c r="E18" s="106" t="s">
        <v>16</v>
      </c>
      <c r="F18" s="1"/>
      <c r="G18" s="39"/>
      <c r="H18" s="39"/>
      <c r="I18" s="39"/>
      <c r="J18" s="39"/>
      <c r="K18" s="39"/>
    </row>
    <row r="19" spans="2:11">
      <c r="B19" s="39"/>
      <c r="C19" s="2" t="s">
        <v>176</v>
      </c>
      <c r="D19" s="2"/>
      <c r="E19" s="2"/>
      <c r="F19" s="2"/>
      <c r="G19" s="39"/>
      <c r="H19" s="39"/>
      <c r="I19" s="39"/>
      <c r="J19" s="39"/>
      <c r="K19" s="39"/>
    </row>
    <row r="20" spans="2:11">
      <c r="B20" s="39"/>
      <c r="C20" s="39"/>
      <c r="D20" s="107" t="s">
        <v>16</v>
      </c>
      <c r="E20" s="107"/>
      <c r="F20" s="107"/>
      <c r="G20" s="39"/>
      <c r="H20" s="39"/>
      <c r="I20" s="39"/>
      <c r="J20" s="39"/>
      <c r="K20" s="39"/>
    </row>
  </sheetData>
  <mergeCells count="4">
    <mergeCell ref="D1:G1"/>
    <mergeCell ref="C17:F17"/>
    <mergeCell ref="C19:F19"/>
    <mergeCell ref="D20:F20"/>
  </mergeCells>
  <pageMargins left="0.590551181102362" right="0.354330708661417" top="0.59" bottom="0.36" header="0.31496062992126" footer="0.31496062992126"/>
  <pageSetup paperSize="9" scale="9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8"/>
  <dimension ref="A2:AQ37"/>
  <sheetViews>
    <sheetView workbookViewId="0">
      <selection activeCell="C7" sqref="C7:C8"/>
    </sheetView>
  </sheetViews>
  <sheetFormatPr defaultColWidth="9" defaultRowHeight="14.4"/>
  <cols>
    <col min="1" max="1" width="3.42592592592593" customWidth="1"/>
    <col min="2" max="2" width="3.28703703703704" customWidth="1"/>
    <col min="3" max="3" width="11.712962962963" customWidth="1"/>
    <col min="4" max="4" width="4.13888888888889" customWidth="1"/>
    <col min="5" max="5" width="5.85185185185185" customWidth="1"/>
    <col min="6" max="20" width="2.85185185185185" customWidth="1"/>
    <col min="21" max="22" width="2.57407407407407" customWidth="1"/>
    <col min="23" max="23" width="4" customWidth="1"/>
    <col min="24" max="38" width="3" customWidth="1"/>
    <col min="39" max="39" width="2.85185185185185" customWidth="1"/>
    <col min="40" max="40" width="2.13888888888889" customWidth="1"/>
    <col min="41" max="41" width="3.28703703703704" customWidth="1"/>
    <col min="42" max="42" width="2.71296296296296" customWidth="1"/>
    <col min="43" max="43" width="4.28703703703704" customWidth="1"/>
  </cols>
  <sheetData>
    <row r="2" ht="25.5" customHeight="1" spans="11:33">
      <c r="K2" s="40" t="s">
        <v>177</v>
      </c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</row>
    <row r="3" ht="33.75" customHeight="1" spans="2:43">
      <c r="B3" s="17" t="s">
        <v>178</v>
      </c>
      <c r="C3" s="18" t="s">
        <v>179</v>
      </c>
      <c r="D3" s="19" t="s">
        <v>77</v>
      </c>
      <c r="E3" s="19" t="s">
        <v>180</v>
      </c>
      <c r="F3" s="75" t="s">
        <v>181</v>
      </c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81"/>
      <c r="W3" s="82" t="s">
        <v>180</v>
      </c>
      <c r="X3" s="69" t="s">
        <v>182</v>
      </c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65"/>
      <c r="AM3" s="65"/>
      <c r="AN3" s="66"/>
      <c r="AO3" s="66"/>
      <c r="AP3" s="66"/>
      <c r="AQ3" s="66"/>
    </row>
    <row r="4" ht="15" customHeight="1" spans="2:43">
      <c r="B4" s="22"/>
      <c r="C4" s="23"/>
      <c r="D4" s="24"/>
      <c r="E4" s="24"/>
      <c r="F4" s="77" t="s">
        <v>183</v>
      </c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83"/>
      <c r="U4" s="84" t="s">
        <v>184</v>
      </c>
      <c r="V4" s="85"/>
      <c r="W4" s="86"/>
      <c r="X4" s="87" t="s">
        <v>183</v>
      </c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6"/>
      <c r="AM4" s="67" t="s">
        <v>184</v>
      </c>
      <c r="AN4" s="68"/>
      <c r="AO4" s="69" t="s">
        <v>185</v>
      </c>
      <c r="AP4" s="70"/>
      <c r="AQ4" s="65"/>
    </row>
    <row r="5" spans="2:43">
      <c r="B5" s="22"/>
      <c r="C5" s="23"/>
      <c r="D5" s="24"/>
      <c r="E5" s="24"/>
      <c r="F5" s="79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8"/>
      <c r="U5" s="89"/>
      <c r="V5" s="90"/>
      <c r="W5" s="86"/>
      <c r="X5" s="91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7"/>
      <c r="AM5" s="71"/>
      <c r="AN5" s="72"/>
      <c r="AO5" s="19" t="s">
        <v>186</v>
      </c>
      <c r="AP5" s="19" t="s">
        <v>187</v>
      </c>
      <c r="AQ5" s="19" t="s">
        <v>188</v>
      </c>
    </row>
    <row r="6" ht="39" customHeight="1" spans="2:43">
      <c r="B6" s="22"/>
      <c r="C6" s="23"/>
      <c r="D6" s="24"/>
      <c r="E6" s="24"/>
      <c r="F6" s="18">
        <v>1</v>
      </c>
      <c r="G6" s="18">
        <v>2</v>
      </c>
      <c r="H6" s="18">
        <v>3</v>
      </c>
      <c r="I6" s="18">
        <v>4</v>
      </c>
      <c r="J6" s="18">
        <v>5</v>
      </c>
      <c r="K6" s="18">
        <v>6</v>
      </c>
      <c r="L6" s="18">
        <v>7</v>
      </c>
      <c r="M6" s="18">
        <v>8</v>
      </c>
      <c r="N6" s="18">
        <v>9</v>
      </c>
      <c r="O6" s="18">
        <v>10</v>
      </c>
      <c r="P6" s="18">
        <v>11</v>
      </c>
      <c r="Q6" s="18">
        <v>12</v>
      </c>
      <c r="R6" s="18">
        <v>13</v>
      </c>
      <c r="S6" s="18">
        <v>14</v>
      </c>
      <c r="T6" s="18">
        <v>15</v>
      </c>
      <c r="U6" s="92"/>
      <c r="V6" s="93"/>
      <c r="W6" s="86"/>
      <c r="X6" s="18">
        <v>1</v>
      </c>
      <c r="Y6" s="18">
        <v>2</v>
      </c>
      <c r="Z6" s="18">
        <v>3</v>
      </c>
      <c r="AA6" s="18">
        <v>4</v>
      </c>
      <c r="AB6" s="18">
        <v>5</v>
      </c>
      <c r="AC6" s="18">
        <v>6</v>
      </c>
      <c r="AD6" s="18">
        <v>7</v>
      </c>
      <c r="AE6" s="18">
        <v>8</v>
      </c>
      <c r="AF6" s="18">
        <v>9</v>
      </c>
      <c r="AG6" s="18">
        <v>10</v>
      </c>
      <c r="AH6" s="18">
        <v>11</v>
      </c>
      <c r="AI6" s="18">
        <v>12</v>
      </c>
      <c r="AJ6" s="18">
        <v>13</v>
      </c>
      <c r="AK6" s="18">
        <v>14</v>
      </c>
      <c r="AL6" s="18">
        <v>15</v>
      </c>
      <c r="AM6" s="73"/>
      <c r="AN6" s="74"/>
      <c r="AO6" s="24"/>
      <c r="AP6" s="24"/>
      <c r="AQ6" s="24"/>
    </row>
    <row r="7" spans="2:43">
      <c r="B7" s="30">
        <v>1</v>
      </c>
      <c r="C7" s="31" t="s">
        <v>189</v>
      </c>
      <c r="D7" s="30" t="s">
        <v>190</v>
      </c>
      <c r="E7" s="32" t="s">
        <v>191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54">
        <f>SUM(F7:T7)</f>
        <v>0</v>
      </c>
      <c r="V7" s="55"/>
      <c r="W7" s="32" t="s">
        <v>192</v>
      </c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54">
        <f>SUM(X7:AL7)</f>
        <v>0</v>
      </c>
      <c r="AN7" s="55"/>
      <c r="AO7" s="33">
        <f>+AM7</f>
        <v>0</v>
      </c>
      <c r="AP7" s="33"/>
      <c r="AQ7" s="33"/>
    </row>
    <row r="8" spans="2:43">
      <c r="B8" s="34"/>
      <c r="C8" s="35"/>
      <c r="D8" s="34"/>
      <c r="E8" s="32" t="s">
        <v>193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54">
        <f t="shared" ref="U8:U30" si="0">SUM(F8:T8)</f>
        <v>0</v>
      </c>
      <c r="V8" s="55"/>
      <c r="W8" s="32" t="s">
        <v>194</v>
      </c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54">
        <f>SUM(X8:AL8)</f>
        <v>0</v>
      </c>
      <c r="AN8" s="55"/>
      <c r="AO8" s="33">
        <f t="shared" ref="AO8:AO30" si="1">+AM8</f>
        <v>0</v>
      </c>
      <c r="AP8" s="33"/>
      <c r="AQ8" s="33"/>
    </row>
    <row r="9" spans="2:43">
      <c r="B9" s="30">
        <v>2</v>
      </c>
      <c r="C9" s="31"/>
      <c r="D9" s="30"/>
      <c r="E9" s="32" t="s">
        <v>191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54">
        <f t="shared" si="0"/>
        <v>0</v>
      </c>
      <c r="V9" s="55"/>
      <c r="W9" s="32" t="s">
        <v>192</v>
      </c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54">
        <f t="shared" ref="AM9:AM30" si="2">SUM(X9:AL9)</f>
        <v>0</v>
      </c>
      <c r="AN9" s="55"/>
      <c r="AO9" s="33">
        <f t="shared" si="1"/>
        <v>0</v>
      </c>
      <c r="AP9" s="33"/>
      <c r="AQ9" s="33"/>
    </row>
    <row r="10" spans="2:43">
      <c r="B10" s="34"/>
      <c r="C10" s="35"/>
      <c r="D10" s="34"/>
      <c r="E10" s="32" t="s">
        <v>193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54">
        <f t="shared" si="0"/>
        <v>0</v>
      </c>
      <c r="V10" s="55"/>
      <c r="W10" s="32" t="s">
        <v>194</v>
      </c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54">
        <f t="shared" si="2"/>
        <v>0</v>
      </c>
      <c r="AN10" s="55"/>
      <c r="AO10" s="33">
        <f t="shared" si="1"/>
        <v>0</v>
      </c>
      <c r="AP10" s="33"/>
      <c r="AQ10" s="33"/>
    </row>
    <row r="11" spans="2:43">
      <c r="B11" s="30"/>
      <c r="C11" s="31"/>
      <c r="D11" s="30"/>
      <c r="E11" s="32" t="s">
        <v>191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54">
        <f t="shared" si="0"/>
        <v>0</v>
      </c>
      <c r="V11" s="55"/>
      <c r="W11" s="32" t="s">
        <v>192</v>
      </c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54">
        <f t="shared" si="2"/>
        <v>0</v>
      </c>
      <c r="AN11" s="55"/>
      <c r="AO11" s="33">
        <f t="shared" si="1"/>
        <v>0</v>
      </c>
      <c r="AP11" s="33"/>
      <c r="AQ11" s="33"/>
    </row>
    <row r="12" spans="2:43">
      <c r="B12" s="34"/>
      <c r="C12" s="35"/>
      <c r="D12" s="34"/>
      <c r="E12" s="32" t="s">
        <v>193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54">
        <f t="shared" si="0"/>
        <v>0</v>
      </c>
      <c r="V12" s="55"/>
      <c r="W12" s="32" t="s">
        <v>194</v>
      </c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54">
        <f t="shared" si="2"/>
        <v>0</v>
      </c>
      <c r="AN12" s="55"/>
      <c r="AO12" s="33">
        <f t="shared" si="1"/>
        <v>0</v>
      </c>
      <c r="AP12" s="33"/>
      <c r="AQ12" s="33"/>
    </row>
    <row r="13" spans="2:43">
      <c r="B13" s="30"/>
      <c r="C13" s="31"/>
      <c r="D13" s="30"/>
      <c r="E13" s="32" t="s">
        <v>191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54">
        <f t="shared" si="0"/>
        <v>0</v>
      </c>
      <c r="V13" s="55"/>
      <c r="W13" s="32" t="s">
        <v>192</v>
      </c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54">
        <f t="shared" si="2"/>
        <v>0</v>
      </c>
      <c r="AN13" s="55"/>
      <c r="AO13" s="33">
        <f t="shared" si="1"/>
        <v>0</v>
      </c>
      <c r="AP13" s="33"/>
      <c r="AQ13" s="33"/>
    </row>
    <row r="14" spans="2:43">
      <c r="B14" s="34"/>
      <c r="C14" s="35"/>
      <c r="D14" s="34"/>
      <c r="E14" s="32" t="s">
        <v>193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54">
        <f t="shared" si="0"/>
        <v>0</v>
      </c>
      <c r="V14" s="55"/>
      <c r="W14" s="32" t="s">
        <v>194</v>
      </c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54">
        <f t="shared" si="2"/>
        <v>0</v>
      </c>
      <c r="AN14" s="55"/>
      <c r="AO14" s="33">
        <f t="shared" si="1"/>
        <v>0</v>
      </c>
      <c r="AP14" s="33"/>
      <c r="AQ14" s="33"/>
    </row>
    <row r="15" spans="2:43">
      <c r="B15" s="30"/>
      <c r="C15" s="31"/>
      <c r="D15" s="30"/>
      <c r="E15" s="32" t="s">
        <v>191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54">
        <f t="shared" si="0"/>
        <v>0</v>
      </c>
      <c r="V15" s="55"/>
      <c r="W15" s="32" t="s">
        <v>192</v>
      </c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54">
        <f t="shared" si="2"/>
        <v>0</v>
      </c>
      <c r="AN15" s="55"/>
      <c r="AO15" s="33">
        <f t="shared" si="1"/>
        <v>0</v>
      </c>
      <c r="AP15" s="33"/>
      <c r="AQ15" s="33"/>
    </row>
    <row r="16" spans="1:43">
      <c r="A16" s="36">
        <v>11</v>
      </c>
      <c r="B16" s="34"/>
      <c r="C16" s="35"/>
      <c r="D16" s="34"/>
      <c r="E16" s="32" t="s">
        <v>193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54">
        <f t="shared" si="0"/>
        <v>0</v>
      </c>
      <c r="V16" s="55"/>
      <c r="W16" s="32" t="s">
        <v>194</v>
      </c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54">
        <f t="shared" si="2"/>
        <v>0</v>
      </c>
      <c r="AN16" s="55"/>
      <c r="AO16" s="33">
        <f t="shared" si="1"/>
        <v>0</v>
      </c>
      <c r="AP16" s="33"/>
      <c r="AQ16" s="33"/>
    </row>
    <row r="17" spans="2:43">
      <c r="B17" s="30"/>
      <c r="C17" s="31"/>
      <c r="D17" s="30"/>
      <c r="E17" s="32" t="s">
        <v>191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54">
        <f t="shared" si="0"/>
        <v>0</v>
      </c>
      <c r="V17" s="55"/>
      <c r="W17" s="32" t="s">
        <v>192</v>
      </c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54">
        <f t="shared" si="2"/>
        <v>0</v>
      </c>
      <c r="AN17" s="55"/>
      <c r="AO17" s="33">
        <f t="shared" si="1"/>
        <v>0</v>
      </c>
      <c r="AP17" s="33"/>
      <c r="AQ17" s="33"/>
    </row>
    <row r="18" spans="2:43">
      <c r="B18" s="34"/>
      <c r="C18" s="35"/>
      <c r="D18" s="34"/>
      <c r="E18" s="32" t="s">
        <v>193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54">
        <f t="shared" si="0"/>
        <v>0</v>
      </c>
      <c r="V18" s="55"/>
      <c r="W18" s="32" t="s">
        <v>194</v>
      </c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54">
        <f t="shared" si="2"/>
        <v>0</v>
      </c>
      <c r="AN18" s="55"/>
      <c r="AO18" s="33">
        <f t="shared" si="1"/>
        <v>0</v>
      </c>
      <c r="AP18" s="33"/>
      <c r="AQ18" s="33"/>
    </row>
    <row r="19" spans="2:43">
      <c r="B19" s="30"/>
      <c r="C19" s="31"/>
      <c r="D19" s="30"/>
      <c r="E19" s="32" t="s">
        <v>191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54">
        <f t="shared" si="0"/>
        <v>0</v>
      </c>
      <c r="V19" s="55"/>
      <c r="W19" s="32" t="s">
        <v>192</v>
      </c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54">
        <f t="shared" si="2"/>
        <v>0</v>
      </c>
      <c r="AN19" s="55"/>
      <c r="AO19" s="33">
        <f t="shared" si="1"/>
        <v>0</v>
      </c>
      <c r="AP19" s="33"/>
      <c r="AQ19" s="33"/>
    </row>
    <row r="20" spans="2:43">
      <c r="B20" s="34"/>
      <c r="C20" s="35"/>
      <c r="D20" s="34"/>
      <c r="E20" s="32" t="s">
        <v>193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54">
        <f t="shared" si="0"/>
        <v>0</v>
      </c>
      <c r="V20" s="55"/>
      <c r="W20" s="32" t="s">
        <v>194</v>
      </c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54">
        <f t="shared" si="2"/>
        <v>0</v>
      </c>
      <c r="AN20" s="55"/>
      <c r="AO20" s="33">
        <f t="shared" si="1"/>
        <v>0</v>
      </c>
      <c r="AP20" s="33"/>
      <c r="AQ20" s="33"/>
    </row>
    <row r="21" spans="2:43">
      <c r="B21" s="30"/>
      <c r="C21" s="31"/>
      <c r="D21" s="30"/>
      <c r="E21" s="32" t="s">
        <v>191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54">
        <f t="shared" si="0"/>
        <v>0</v>
      </c>
      <c r="V21" s="55"/>
      <c r="W21" s="32" t="s">
        <v>192</v>
      </c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54">
        <f t="shared" si="2"/>
        <v>0</v>
      </c>
      <c r="AN21" s="55"/>
      <c r="AO21" s="33">
        <f t="shared" si="1"/>
        <v>0</v>
      </c>
      <c r="AP21" s="33"/>
      <c r="AQ21" s="33"/>
    </row>
    <row r="22" spans="2:43">
      <c r="B22" s="34"/>
      <c r="C22" s="35"/>
      <c r="D22" s="34"/>
      <c r="E22" s="32" t="s">
        <v>193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54">
        <f t="shared" si="0"/>
        <v>0</v>
      </c>
      <c r="V22" s="55"/>
      <c r="W22" s="32" t="s">
        <v>194</v>
      </c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54">
        <f t="shared" si="2"/>
        <v>0</v>
      </c>
      <c r="AN22" s="55"/>
      <c r="AO22" s="33">
        <f t="shared" si="1"/>
        <v>0</v>
      </c>
      <c r="AP22" s="33"/>
      <c r="AQ22" s="33"/>
    </row>
    <row r="23" spans="2:43">
      <c r="B23" s="30"/>
      <c r="C23" s="31"/>
      <c r="D23" s="30"/>
      <c r="E23" s="32" t="s">
        <v>191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54">
        <f t="shared" si="0"/>
        <v>0</v>
      </c>
      <c r="V23" s="55"/>
      <c r="W23" s="32" t="s">
        <v>192</v>
      </c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54">
        <f t="shared" si="2"/>
        <v>0</v>
      </c>
      <c r="AN23" s="55"/>
      <c r="AO23" s="33">
        <f t="shared" si="1"/>
        <v>0</v>
      </c>
      <c r="AP23" s="33"/>
      <c r="AQ23" s="33"/>
    </row>
    <row r="24" spans="2:43">
      <c r="B24" s="34"/>
      <c r="C24" s="35"/>
      <c r="D24" s="34"/>
      <c r="E24" s="32" t="s">
        <v>193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54">
        <f t="shared" si="0"/>
        <v>0</v>
      </c>
      <c r="V24" s="55"/>
      <c r="W24" s="32" t="s">
        <v>194</v>
      </c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54">
        <f t="shared" si="2"/>
        <v>0</v>
      </c>
      <c r="AN24" s="55"/>
      <c r="AO24" s="33">
        <f t="shared" si="1"/>
        <v>0</v>
      </c>
      <c r="AP24" s="33"/>
      <c r="AQ24" s="33"/>
    </row>
    <row r="25" spans="2:43">
      <c r="B25" s="30"/>
      <c r="C25" s="31"/>
      <c r="D25" s="30"/>
      <c r="E25" s="32" t="s">
        <v>191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54">
        <f t="shared" si="0"/>
        <v>0</v>
      </c>
      <c r="V25" s="55"/>
      <c r="W25" s="32" t="s">
        <v>192</v>
      </c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54">
        <f t="shared" si="2"/>
        <v>0</v>
      </c>
      <c r="AN25" s="55"/>
      <c r="AO25" s="33">
        <f t="shared" si="1"/>
        <v>0</v>
      </c>
      <c r="AP25" s="33"/>
      <c r="AQ25" s="33"/>
    </row>
    <row r="26" spans="2:43">
      <c r="B26" s="34"/>
      <c r="C26" s="35"/>
      <c r="D26" s="34"/>
      <c r="E26" s="32" t="s">
        <v>193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54">
        <f t="shared" si="0"/>
        <v>0</v>
      </c>
      <c r="V26" s="55"/>
      <c r="W26" s="32" t="s">
        <v>194</v>
      </c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54">
        <f t="shared" si="2"/>
        <v>0</v>
      </c>
      <c r="AN26" s="55"/>
      <c r="AO26" s="33">
        <f t="shared" si="1"/>
        <v>0</v>
      </c>
      <c r="AP26" s="33"/>
      <c r="AQ26" s="33"/>
    </row>
    <row r="27" spans="2:43">
      <c r="B27" s="30"/>
      <c r="C27" s="31"/>
      <c r="D27" s="30"/>
      <c r="E27" s="32" t="s">
        <v>191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54">
        <f t="shared" si="0"/>
        <v>0</v>
      </c>
      <c r="V27" s="55"/>
      <c r="W27" s="32" t="s">
        <v>192</v>
      </c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54">
        <f t="shared" si="2"/>
        <v>0</v>
      </c>
      <c r="AN27" s="55"/>
      <c r="AO27" s="33">
        <f t="shared" si="1"/>
        <v>0</v>
      </c>
      <c r="AP27" s="33"/>
      <c r="AQ27" s="33"/>
    </row>
    <row r="28" spans="2:43">
      <c r="B28" s="34"/>
      <c r="C28" s="35"/>
      <c r="D28" s="34"/>
      <c r="E28" s="32" t="s">
        <v>193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54">
        <f t="shared" si="0"/>
        <v>0</v>
      </c>
      <c r="V28" s="55"/>
      <c r="W28" s="32" t="s">
        <v>194</v>
      </c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54">
        <f t="shared" si="2"/>
        <v>0</v>
      </c>
      <c r="AN28" s="55"/>
      <c r="AO28" s="33">
        <f t="shared" si="1"/>
        <v>0</v>
      </c>
      <c r="AP28" s="33"/>
      <c r="AQ28" s="33"/>
    </row>
    <row r="29" spans="2:43">
      <c r="B29" s="30"/>
      <c r="C29" s="31"/>
      <c r="D29" s="30"/>
      <c r="E29" s="32" t="s">
        <v>191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54">
        <f t="shared" si="0"/>
        <v>0</v>
      </c>
      <c r="V29" s="55"/>
      <c r="W29" s="32" t="s">
        <v>192</v>
      </c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54">
        <f t="shared" si="2"/>
        <v>0</v>
      </c>
      <c r="AN29" s="55"/>
      <c r="AO29" s="33">
        <f t="shared" si="1"/>
        <v>0</v>
      </c>
      <c r="AP29" s="33"/>
      <c r="AQ29" s="33"/>
    </row>
    <row r="30" spans="2:43">
      <c r="B30" s="34"/>
      <c r="C30" s="35"/>
      <c r="D30" s="34"/>
      <c r="E30" s="32" t="s">
        <v>193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54">
        <f t="shared" si="0"/>
        <v>0</v>
      </c>
      <c r="V30" s="55"/>
      <c r="W30" s="32" t="s">
        <v>194</v>
      </c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54">
        <f t="shared" si="2"/>
        <v>0</v>
      </c>
      <c r="AN30" s="55"/>
      <c r="AO30" s="33">
        <f t="shared" si="1"/>
        <v>0</v>
      </c>
      <c r="AP30" s="33"/>
      <c r="AQ30" s="33"/>
    </row>
    <row r="31" s="16" customFormat="1" spans="5:37"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</row>
    <row r="32" s="16" customFormat="1" spans="5:37"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</row>
    <row r="33" spans="5:37">
      <c r="E33" s="38" t="s">
        <v>195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  <c r="S33" s="39"/>
      <c r="T33" s="39"/>
      <c r="U33" s="39"/>
      <c r="V33" s="39"/>
      <c r="W33" s="39"/>
      <c r="X33" s="39"/>
      <c r="Y33" s="38" t="s">
        <v>196</v>
      </c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</row>
    <row r="34" spans="5:37">
      <c r="E34" s="39"/>
      <c r="F34" s="39"/>
      <c r="G34" s="39"/>
      <c r="H34" s="39"/>
      <c r="I34" s="42" t="s">
        <v>16</v>
      </c>
      <c r="J34" s="42"/>
      <c r="K34" s="42"/>
      <c r="L34" s="42"/>
      <c r="M34" s="42"/>
      <c r="N34" s="42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2" t="s">
        <v>16</v>
      </c>
      <c r="AE34" s="42"/>
      <c r="AF34" s="42"/>
      <c r="AG34" s="42"/>
      <c r="AH34" s="42"/>
      <c r="AI34" s="42"/>
      <c r="AJ34" s="39"/>
      <c r="AK34" s="39"/>
    </row>
    <row r="35" spans="5:37"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</row>
    <row r="37" ht="8.25" customHeight="1"/>
  </sheetData>
  <mergeCells count="103">
    <mergeCell ref="F3:V3"/>
    <mergeCell ref="X3:AL3"/>
    <mergeCell ref="AO4:AQ4"/>
    <mergeCell ref="U7:V7"/>
    <mergeCell ref="AM7:AN7"/>
    <mergeCell ref="U8:V8"/>
    <mergeCell ref="AM8:AN8"/>
    <mergeCell ref="U9:V9"/>
    <mergeCell ref="AM9:AN9"/>
    <mergeCell ref="U10:V10"/>
    <mergeCell ref="AM10:AN10"/>
    <mergeCell ref="U11:V11"/>
    <mergeCell ref="AM11:AN11"/>
    <mergeCell ref="U12:V12"/>
    <mergeCell ref="AM12:AN12"/>
    <mergeCell ref="U13:V13"/>
    <mergeCell ref="AM13:AN13"/>
    <mergeCell ref="U14:V14"/>
    <mergeCell ref="AM14:AN14"/>
    <mergeCell ref="U15:V15"/>
    <mergeCell ref="AM15:AN15"/>
    <mergeCell ref="U16:V16"/>
    <mergeCell ref="AM16:AN16"/>
    <mergeCell ref="U17:V17"/>
    <mergeCell ref="AM17:AN17"/>
    <mergeCell ref="U18:V18"/>
    <mergeCell ref="AM18:AN18"/>
    <mergeCell ref="U19:V19"/>
    <mergeCell ref="AM19:AN19"/>
    <mergeCell ref="U20:V20"/>
    <mergeCell ref="AM20:AN20"/>
    <mergeCell ref="U21:V21"/>
    <mergeCell ref="AM21:AN21"/>
    <mergeCell ref="U22:V22"/>
    <mergeCell ref="AM22:AN22"/>
    <mergeCell ref="U23:V23"/>
    <mergeCell ref="AM23:AN23"/>
    <mergeCell ref="U24:V24"/>
    <mergeCell ref="AM24:AN24"/>
    <mergeCell ref="U25:V25"/>
    <mergeCell ref="AM25:AN25"/>
    <mergeCell ref="U26:V26"/>
    <mergeCell ref="AM26:AN26"/>
    <mergeCell ref="U27:V27"/>
    <mergeCell ref="AM27:AN27"/>
    <mergeCell ref="U28:V28"/>
    <mergeCell ref="AM28:AN28"/>
    <mergeCell ref="U29:V29"/>
    <mergeCell ref="AM29:AN29"/>
    <mergeCell ref="U30:V30"/>
    <mergeCell ref="AM30:AN30"/>
    <mergeCell ref="E33:Q33"/>
    <mergeCell ref="Y33:AK33"/>
    <mergeCell ref="I34:N34"/>
    <mergeCell ref="AD34:AI34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D3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E3:E6"/>
    <mergeCell ref="W3:W6"/>
    <mergeCell ref="AO5:AO6"/>
    <mergeCell ref="AP5:AP6"/>
    <mergeCell ref="AQ5:AQ6"/>
    <mergeCell ref="X4:AL5"/>
    <mergeCell ref="U4:V6"/>
    <mergeCell ref="AM4:AN6"/>
    <mergeCell ref="F4:T5"/>
  </mergeCells>
  <pageMargins left="0.44" right="0.18" top="0.33" bottom="0.275590551181102" header="0.31496062992126" footer="0.2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9"/>
  <dimension ref="A2:AS37"/>
  <sheetViews>
    <sheetView workbookViewId="0">
      <selection activeCell="L10" sqref="L10"/>
    </sheetView>
  </sheetViews>
  <sheetFormatPr defaultColWidth="9" defaultRowHeight="14.4"/>
  <cols>
    <col min="1" max="2" width="3.28703703703704" customWidth="1"/>
    <col min="3" max="3" width="11.712962962963" customWidth="1"/>
    <col min="4" max="4" width="4.13888888888889" customWidth="1"/>
    <col min="5" max="5" width="4.85185185185185" customWidth="1"/>
    <col min="6" max="21" width="2.85185185185185" customWidth="1"/>
    <col min="22" max="23" width="2.57407407407407" customWidth="1"/>
    <col min="24" max="24" width="4.42592592592593" customWidth="1"/>
    <col min="25" max="38" width="3" customWidth="1"/>
    <col min="39" max="39" width="2.57407407407407" customWidth="1"/>
    <col min="40" max="40" width="3" customWidth="1"/>
    <col min="41" max="41" width="2.57407407407407" customWidth="1"/>
    <col min="42" max="42" width="2.13888888888889" customWidth="1"/>
    <col min="43" max="43" width="3.28703703703704" customWidth="1"/>
    <col min="44" max="44" width="2.71296296296296" customWidth="1"/>
    <col min="45" max="45" width="4.28703703703704" customWidth="1"/>
  </cols>
  <sheetData>
    <row r="2" ht="25.5" customHeight="1" spans="10:35">
      <c r="J2" s="40" t="s">
        <v>177</v>
      </c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</row>
    <row r="3" ht="33.75" customHeight="1" spans="2:45">
      <c r="B3" s="17" t="s">
        <v>178</v>
      </c>
      <c r="C3" s="18" t="s">
        <v>179</v>
      </c>
      <c r="D3" s="19" t="s">
        <v>77</v>
      </c>
      <c r="E3" s="19" t="s">
        <v>180</v>
      </c>
      <c r="F3" s="20" t="s">
        <v>181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43"/>
      <c r="X3" s="44" t="s">
        <v>180</v>
      </c>
      <c r="Y3" s="56" t="s">
        <v>182</v>
      </c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62"/>
      <c r="AO3" s="65"/>
      <c r="AP3" s="66"/>
      <c r="AQ3" s="66"/>
      <c r="AR3" s="66"/>
      <c r="AS3" s="66"/>
    </row>
    <row r="4" ht="15" customHeight="1" spans="2:45">
      <c r="B4" s="22"/>
      <c r="C4" s="23"/>
      <c r="D4" s="24"/>
      <c r="E4" s="24"/>
      <c r="F4" s="25" t="s">
        <v>183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45"/>
      <c r="V4" s="46" t="s">
        <v>184</v>
      </c>
      <c r="W4" s="47"/>
      <c r="X4" s="48"/>
      <c r="Y4" s="58" t="s">
        <v>183</v>
      </c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63"/>
      <c r="AO4" s="67" t="s">
        <v>184</v>
      </c>
      <c r="AP4" s="68"/>
      <c r="AQ4" s="69" t="s">
        <v>185</v>
      </c>
      <c r="AR4" s="70"/>
      <c r="AS4" s="65"/>
    </row>
    <row r="5" ht="15" customHeight="1" spans="2:45">
      <c r="B5" s="22"/>
      <c r="C5" s="23"/>
      <c r="D5" s="24"/>
      <c r="E5" s="24"/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49"/>
      <c r="V5" s="50"/>
      <c r="W5" s="51"/>
      <c r="X5" s="48"/>
      <c r="Y5" s="60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4"/>
      <c r="AO5" s="71"/>
      <c r="AP5" s="72"/>
      <c r="AQ5" s="19" t="s">
        <v>186</v>
      </c>
      <c r="AR5" s="19" t="s">
        <v>187</v>
      </c>
      <c r="AS5" s="19" t="s">
        <v>188</v>
      </c>
    </row>
    <row r="6" ht="39" customHeight="1" spans="2:45">
      <c r="B6" s="22"/>
      <c r="C6" s="23"/>
      <c r="D6" s="24"/>
      <c r="E6" s="24"/>
      <c r="F6" s="29">
        <v>16</v>
      </c>
      <c r="G6" s="29">
        <v>17</v>
      </c>
      <c r="H6" s="29">
        <v>18</v>
      </c>
      <c r="I6" s="29">
        <v>19</v>
      </c>
      <c r="J6" s="29">
        <v>20</v>
      </c>
      <c r="K6" s="29">
        <v>21</v>
      </c>
      <c r="L6" s="29">
        <v>22</v>
      </c>
      <c r="M6" s="29">
        <v>23</v>
      </c>
      <c r="N6" s="29">
        <v>24</v>
      </c>
      <c r="O6" s="29">
        <v>25</v>
      </c>
      <c r="P6" s="29">
        <v>26</v>
      </c>
      <c r="Q6" s="29">
        <v>27</v>
      </c>
      <c r="R6" s="29">
        <v>28</v>
      </c>
      <c r="S6" s="29">
        <v>29</v>
      </c>
      <c r="T6" s="29">
        <v>30</v>
      </c>
      <c r="U6" s="29">
        <v>31</v>
      </c>
      <c r="V6" s="52"/>
      <c r="W6" s="53"/>
      <c r="X6" s="48"/>
      <c r="Y6" s="29">
        <v>16</v>
      </c>
      <c r="Z6" s="29">
        <v>17</v>
      </c>
      <c r="AA6" s="29">
        <v>18</v>
      </c>
      <c r="AB6" s="29">
        <v>19</v>
      </c>
      <c r="AC6" s="29">
        <v>20</v>
      </c>
      <c r="AD6" s="29">
        <v>21</v>
      </c>
      <c r="AE6" s="29">
        <v>22</v>
      </c>
      <c r="AF6" s="29">
        <v>23</v>
      </c>
      <c r="AG6" s="29">
        <v>24</v>
      </c>
      <c r="AH6" s="29">
        <v>25</v>
      </c>
      <c r="AI6" s="29">
        <v>26</v>
      </c>
      <c r="AJ6" s="29">
        <v>27</v>
      </c>
      <c r="AK6" s="29">
        <v>28</v>
      </c>
      <c r="AL6" s="29">
        <v>29</v>
      </c>
      <c r="AM6" s="29">
        <v>30</v>
      </c>
      <c r="AN6" s="29">
        <v>31</v>
      </c>
      <c r="AO6" s="73"/>
      <c r="AP6" s="74"/>
      <c r="AQ6" s="24"/>
      <c r="AR6" s="24"/>
      <c r="AS6" s="24"/>
    </row>
    <row r="7" spans="2:45">
      <c r="B7" s="30">
        <v>1</v>
      </c>
      <c r="C7" s="31" t="s">
        <v>189</v>
      </c>
      <c r="D7" s="30" t="s">
        <v>190</v>
      </c>
      <c r="E7" s="32" t="s">
        <v>191</v>
      </c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54">
        <f>SUM(F7:U7)</f>
        <v>0</v>
      </c>
      <c r="W7" s="55"/>
      <c r="X7" s="32" t="s">
        <v>192</v>
      </c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54">
        <f>SUM(Y7:AN7)</f>
        <v>0</v>
      </c>
      <c r="AP7" s="55"/>
      <c r="AQ7" s="33">
        <f>+AO7</f>
        <v>0</v>
      </c>
      <c r="AR7" s="33"/>
      <c r="AS7" s="33"/>
    </row>
    <row r="8" spans="2:45">
      <c r="B8" s="34"/>
      <c r="C8" s="35"/>
      <c r="D8" s="34"/>
      <c r="E8" s="32" t="s">
        <v>193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54">
        <f t="shared" ref="V8:V30" si="0">SUM(F8:U8)</f>
        <v>0</v>
      </c>
      <c r="W8" s="55"/>
      <c r="X8" s="32" t="s">
        <v>194</v>
      </c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54">
        <f t="shared" ref="AO8:AO30" si="1">SUM(Y8:AN8)</f>
        <v>0</v>
      </c>
      <c r="AP8" s="55"/>
      <c r="AQ8" s="33">
        <f t="shared" ref="AQ8:AQ30" si="2">+AO8</f>
        <v>0</v>
      </c>
      <c r="AR8" s="33"/>
      <c r="AS8" s="33"/>
    </row>
    <row r="9" spans="2:45">
      <c r="B9" s="30">
        <v>2</v>
      </c>
      <c r="C9" s="31"/>
      <c r="D9" s="30"/>
      <c r="E9" s="32" t="s">
        <v>191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54">
        <f t="shared" si="0"/>
        <v>0</v>
      </c>
      <c r="W9" s="55"/>
      <c r="X9" s="32" t="s">
        <v>192</v>
      </c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54">
        <f t="shared" si="1"/>
        <v>0</v>
      </c>
      <c r="AP9" s="55"/>
      <c r="AQ9" s="33">
        <f t="shared" si="2"/>
        <v>0</v>
      </c>
      <c r="AR9" s="33"/>
      <c r="AS9" s="33"/>
    </row>
    <row r="10" spans="2:45">
      <c r="B10" s="34"/>
      <c r="C10" s="35"/>
      <c r="D10" s="34"/>
      <c r="E10" s="32" t="s">
        <v>193</v>
      </c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54">
        <f t="shared" si="0"/>
        <v>0</v>
      </c>
      <c r="W10" s="55"/>
      <c r="X10" s="32" t="s">
        <v>194</v>
      </c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54">
        <f t="shared" si="1"/>
        <v>0</v>
      </c>
      <c r="AP10" s="55"/>
      <c r="AQ10" s="33">
        <f t="shared" si="2"/>
        <v>0</v>
      </c>
      <c r="AR10" s="33"/>
      <c r="AS10" s="33"/>
    </row>
    <row r="11" spans="2:45">
      <c r="B11" s="30"/>
      <c r="C11" s="31"/>
      <c r="D11" s="30"/>
      <c r="E11" s="32" t="s">
        <v>191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54">
        <f t="shared" si="0"/>
        <v>0</v>
      </c>
      <c r="W11" s="55"/>
      <c r="X11" s="32" t="s">
        <v>192</v>
      </c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54">
        <f t="shared" si="1"/>
        <v>0</v>
      </c>
      <c r="AP11" s="55"/>
      <c r="AQ11" s="33">
        <f t="shared" si="2"/>
        <v>0</v>
      </c>
      <c r="AR11" s="33"/>
      <c r="AS11" s="33"/>
    </row>
    <row r="12" spans="2:45">
      <c r="B12" s="34"/>
      <c r="C12" s="35"/>
      <c r="D12" s="34"/>
      <c r="E12" s="32" t="s">
        <v>193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54">
        <f t="shared" si="0"/>
        <v>0</v>
      </c>
      <c r="W12" s="55"/>
      <c r="X12" s="32" t="s">
        <v>194</v>
      </c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54">
        <f t="shared" si="1"/>
        <v>0</v>
      </c>
      <c r="AP12" s="55"/>
      <c r="AQ12" s="33">
        <f t="shared" si="2"/>
        <v>0</v>
      </c>
      <c r="AR12" s="33"/>
      <c r="AS12" s="33"/>
    </row>
    <row r="13" spans="2:45">
      <c r="B13" s="30"/>
      <c r="C13" s="31"/>
      <c r="D13" s="30"/>
      <c r="E13" s="32" t="s">
        <v>191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54">
        <f t="shared" si="0"/>
        <v>0</v>
      </c>
      <c r="W13" s="55"/>
      <c r="X13" s="32" t="s">
        <v>192</v>
      </c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54">
        <f t="shared" si="1"/>
        <v>0</v>
      </c>
      <c r="AP13" s="55"/>
      <c r="AQ13" s="33">
        <f t="shared" si="2"/>
        <v>0</v>
      </c>
      <c r="AR13" s="33"/>
      <c r="AS13" s="33"/>
    </row>
    <row r="14" spans="2:45">
      <c r="B14" s="34"/>
      <c r="C14" s="35"/>
      <c r="D14" s="34"/>
      <c r="E14" s="32" t="s">
        <v>193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54">
        <f t="shared" si="0"/>
        <v>0</v>
      </c>
      <c r="W14" s="55"/>
      <c r="X14" s="32" t="s">
        <v>194</v>
      </c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54">
        <f t="shared" si="1"/>
        <v>0</v>
      </c>
      <c r="AP14" s="55"/>
      <c r="AQ14" s="33">
        <f t="shared" si="2"/>
        <v>0</v>
      </c>
      <c r="AR14" s="33"/>
      <c r="AS14" s="33"/>
    </row>
    <row r="15" spans="2:45">
      <c r="B15" s="30"/>
      <c r="C15" s="31"/>
      <c r="D15" s="30"/>
      <c r="E15" s="32" t="s">
        <v>191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54">
        <f t="shared" si="0"/>
        <v>0</v>
      </c>
      <c r="W15" s="55"/>
      <c r="X15" s="32" t="s">
        <v>192</v>
      </c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54">
        <f t="shared" si="1"/>
        <v>0</v>
      </c>
      <c r="AP15" s="55"/>
      <c r="AQ15" s="33">
        <f t="shared" si="2"/>
        <v>0</v>
      </c>
      <c r="AR15" s="33"/>
      <c r="AS15" s="33"/>
    </row>
    <row r="16" spans="1:45">
      <c r="A16" s="36">
        <v>12</v>
      </c>
      <c r="B16" s="34"/>
      <c r="C16" s="35"/>
      <c r="D16" s="34"/>
      <c r="E16" s="32" t="s">
        <v>193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54">
        <f t="shared" si="0"/>
        <v>0</v>
      </c>
      <c r="W16" s="55"/>
      <c r="X16" s="32" t="s">
        <v>194</v>
      </c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54">
        <f t="shared" si="1"/>
        <v>0</v>
      </c>
      <c r="AP16" s="55"/>
      <c r="AQ16" s="33">
        <f t="shared" si="2"/>
        <v>0</v>
      </c>
      <c r="AR16" s="33"/>
      <c r="AS16" s="33"/>
    </row>
    <row r="17" spans="2:45">
      <c r="B17" s="30"/>
      <c r="C17" s="31"/>
      <c r="D17" s="30"/>
      <c r="E17" s="32" t="s">
        <v>191</v>
      </c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54">
        <f t="shared" si="0"/>
        <v>0</v>
      </c>
      <c r="W17" s="55"/>
      <c r="X17" s="32" t="s">
        <v>192</v>
      </c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54">
        <f t="shared" si="1"/>
        <v>0</v>
      </c>
      <c r="AP17" s="55"/>
      <c r="AQ17" s="33">
        <f t="shared" si="2"/>
        <v>0</v>
      </c>
      <c r="AR17" s="33"/>
      <c r="AS17" s="33"/>
    </row>
    <row r="18" spans="2:45">
      <c r="B18" s="34"/>
      <c r="C18" s="35"/>
      <c r="D18" s="34"/>
      <c r="E18" s="32" t="s">
        <v>193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54">
        <f t="shared" si="0"/>
        <v>0</v>
      </c>
      <c r="W18" s="55"/>
      <c r="X18" s="32" t="s">
        <v>194</v>
      </c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54">
        <f t="shared" si="1"/>
        <v>0</v>
      </c>
      <c r="AP18" s="55"/>
      <c r="AQ18" s="33">
        <f t="shared" si="2"/>
        <v>0</v>
      </c>
      <c r="AR18" s="33"/>
      <c r="AS18" s="33"/>
    </row>
    <row r="19" spans="2:45">
      <c r="B19" s="30"/>
      <c r="C19" s="31"/>
      <c r="D19" s="30"/>
      <c r="E19" s="32" t="s">
        <v>191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54">
        <f t="shared" si="0"/>
        <v>0</v>
      </c>
      <c r="W19" s="55"/>
      <c r="X19" s="32" t="s">
        <v>192</v>
      </c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54">
        <f t="shared" si="1"/>
        <v>0</v>
      </c>
      <c r="AP19" s="55"/>
      <c r="AQ19" s="33">
        <f t="shared" si="2"/>
        <v>0</v>
      </c>
      <c r="AR19" s="33"/>
      <c r="AS19" s="33"/>
    </row>
    <row r="20" spans="2:45">
      <c r="B20" s="34"/>
      <c r="C20" s="35"/>
      <c r="D20" s="34"/>
      <c r="E20" s="32" t="s">
        <v>193</v>
      </c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54">
        <f t="shared" si="0"/>
        <v>0</v>
      </c>
      <c r="W20" s="55"/>
      <c r="X20" s="32" t="s">
        <v>194</v>
      </c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54">
        <f t="shared" si="1"/>
        <v>0</v>
      </c>
      <c r="AP20" s="55"/>
      <c r="AQ20" s="33">
        <f t="shared" si="2"/>
        <v>0</v>
      </c>
      <c r="AR20" s="33"/>
      <c r="AS20" s="33"/>
    </row>
    <row r="21" spans="2:45">
      <c r="B21" s="30"/>
      <c r="C21" s="31"/>
      <c r="D21" s="30"/>
      <c r="E21" s="32" t="s">
        <v>191</v>
      </c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54">
        <f t="shared" si="0"/>
        <v>0</v>
      </c>
      <c r="W21" s="55"/>
      <c r="X21" s="32" t="s">
        <v>192</v>
      </c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54">
        <f t="shared" si="1"/>
        <v>0</v>
      </c>
      <c r="AP21" s="55"/>
      <c r="AQ21" s="33">
        <f t="shared" si="2"/>
        <v>0</v>
      </c>
      <c r="AR21" s="33"/>
      <c r="AS21" s="33"/>
    </row>
    <row r="22" spans="2:45">
      <c r="B22" s="34"/>
      <c r="C22" s="35"/>
      <c r="D22" s="34"/>
      <c r="E22" s="32" t="s">
        <v>193</v>
      </c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54">
        <f t="shared" si="0"/>
        <v>0</v>
      </c>
      <c r="W22" s="55"/>
      <c r="X22" s="32" t="s">
        <v>194</v>
      </c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54">
        <f t="shared" si="1"/>
        <v>0</v>
      </c>
      <c r="AP22" s="55"/>
      <c r="AQ22" s="33">
        <f t="shared" si="2"/>
        <v>0</v>
      </c>
      <c r="AR22" s="33"/>
      <c r="AS22" s="33"/>
    </row>
    <row r="23" spans="2:45">
      <c r="B23" s="30"/>
      <c r="C23" s="31"/>
      <c r="D23" s="30"/>
      <c r="E23" s="32" t="s">
        <v>191</v>
      </c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54">
        <f t="shared" si="0"/>
        <v>0</v>
      </c>
      <c r="W23" s="55"/>
      <c r="X23" s="32" t="s">
        <v>192</v>
      </c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54">
        <f t="shared" si="1"/>
        <v>0</v>
      </c>
      <c r="AP23" s="55"/>
      <c r="AQ23" s="33">
        <f t="shared" si="2"/>
        <v>0</v>
      </c>
      <c r="AR23" s="33"/>
      <c r="AS23" s="33"/>
    </row>
    <row r="24" spans="2:45">
      <c r="B24" s="34"/>
      <c r="C24" s="35"/>
      <c r="D24" s="34"/>
      <c r="E24" s="32" t="s">
        <v>193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54">
        <f t="shared" si="0"/>
        <v>0</v>
      </c>
      <c r="W24" s="55"/>
      <c r="X24" s="32" t="s">
        <v>194</v>
      </c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54">
        <f t="shared" si="1"/>
        <v>0</v>
      </c>
      <c r="AP24" s="55"/>
      <c r="AQ24" s="33">
        <f t="shared" si="2"/>
        <v>0</v>
      </c>
      <c r="AR24" s="33"/>
      <c r="AS24" s="33"/>
    </row>
    <row r="25" spans="2:45">
      <c r="B25" s="30"/>
      <c r="C25" s="31"/>
      <c r="D25" s="30"/>
      <c r="E25" s="32" t="s">
        <v>191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54">
        <f t="shared" si="0"/>
        <v>0</v>
      </c>
      <c r="W25" s="55"/>
      <c r="X25" s="32" t="s">
        <v>192</v>
      </c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54">
        <f t="shared" si="1"/>
        <v>0</v>
      </c>
      <c r="AP25" s="55"/>
      <c r="AQ25" s="33">
        <f t="shared" si="2"/>
        <v>0</v>
      </c>
      <c r="AR25" s="33"/>
      <c r="AS25" s="33"/>
    </row>
    <row r="26" spans="2:45">
      <c r="B26" s="34"/>
      <c r="C26" s="35"/>
      <c r="D26" s="34"/>
      <c r="E26" s="32" t="s">
        <v>193</v>
      </c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54">
        <f t="shared" si="0"/>
        <v>0</v>
      </c>
      <c r="W26" s="55"/>
      <c r="X26" s="32" t="s">
        <v>194</v>
      </c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54">
        <f t="shared" si="1"/>
        <v>0</v>
      </c>
      <c r="AP26" s="55"/>
      <c r="AQ26" s="33">
        <f t="shared" si="2"/>
        <v>0</v>
      </c>
      <c r="AR26" s="33"/>
      <c r="AS26" s="33"/>
    </row>
    <row r="27" spans="2:45">
      <c r="B27" s="30"/>
      <c r="C27" s="31"/>
      <c r="D27" s="30"/>
      <c r="E27" s="32" t="s">
        <v>191</v>
      </c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54">
        <f t="shared" si="0"/>
        <v>0</v>
      </c>
      <c r="W27" s="55"/>
      <c r="X27" s="32" t="s">
        <v>192</v>
      </c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54">
        <f t="shared" si="1"/>
        <v>0</v>
      </c>
      <c r="AP27" s="55"/>
      <c r="AQ27" s="33">
        <f t="shared" si="2"/>
        <v>0</v>
      </c>
      <c r="AR27" s="33"/>
      <c r="AS27" s="33"/>
    </row>
    <row r="28" spans="2:45">
      <c r="B28" s="34"/>
      <c r="C28" s="35"/>
      <c r="D28" s="34"/>
      <c r="E28" s="32" t="s">
        <v>193</v>
      </c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54">
        <f t="shared" si="0"/>
        <v>0</v>
      </c>
      <c r="W28" s="55"/>
      <c r="X28" s="32" t="s">
        <v>194</v>
      </c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54">
        <f t="shared" si="1"/>
        <v>0</v>
      </c>
      <c r="AP28" s="55"/>
      <c r="AQ28" s="33">
        <f t="shared" si="2"/>
        <v>0</v>
      </c>
      <c r="AR28" s="33"/>
      <c r="AS28" s="33"/>
    </row>
    <row r="29" spans="2:45">
      <c r="B29" s="30"/>
      <c r="C29" s="31"/>
      <c r="D29" s="30"/>
      <c r="E29" s="32" t="s">
        <v>191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54">
        <f t="shared" si="0"/>
        <v>0</v>
      </c>
      <c r="W29" s="55"/>
      <c r="X29" s="32" t="s">
        <v>192</v>
      </c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54">
        <f t="shared" si="1"/>
        <v>0</v>
      </c>
      <c r="AP29" s="55"/>
      <c r="AQ29" s="33">
        <f t="shared" si="2"/>
        <v>0</v>
      </c>
      <c r="AR29" s="33"/>
      <c r="AS29" s="33"/>
    </row>
    <row r="30" spans="2:45">
      <c r="B30" s="34"/>
      <c r="C30" s="35"/>
      <c r="D30" s="34"/>
      <c r="E30" s="32" t="s">
        <v>193</v>
      </c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54">
        <f t="shared" si="0"/>
        <v>0</v>
      </c>
      <c r="W30" s="55"/>
      <c r="X30" s="32" t="s">
        <v>194</v>
      </c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54">
        <f t="shared" si="1"/>
        <v>0</v>
      </c>
      <c r="AP30" s="55"/>
      <c r="AQ30" s="33">
        <f t="shared" si="2"/>
        <v>0</v>
      </c>
      <c r="AR30" s="33"/>
      <c r="AS30" s="33"/>
    </row>
    <row r="31" s="16" customFormat="1" spans="5:39"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</row>
    <row r="32" s="16" customFormat="1" spans="5:39"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</row>
    <row r="33" spans="5:39">
      <c r="E33" s="38" t="s">
        <v>195</v>
      </c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9"/>
      <c r="S33" s="39"/>
      <c r="T33" s="39"/>
      <c r="U33" s="39"/>
      <c r="V33" s="39"/>
      <c r="W33" s="39"/>
      <c r="X33" s="39"/>
      <c r="Y33" s="39"/>
      <c r="Z33" s="38" t="s">
        <v>197</v>
      </c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</row>
    <row r="34" spans="5:39">
      <c r="E34" s="39"/>
      <c r="F34" s="39"/>
      <c r="G34" s="39"/>
      <c r="H34" s="39"/>
      <c r="I34" s="42" t="s">
        <v>16</v>
      </c>
      <c r="J34" s="42"/>
      <c r="K34" s="42"/>
      <c r="L34" s="42"/>
      <c r="M34" s="42"/>
      <c r="N34" s="42"/>
      <c r="O34" s="42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42" t="s">
        <v>16</v>
      </c>
      <c r="AF34" s="42"/>
      <c r="AG34" s="42"/>
      <c r="AH34" s="42"/>
      <c r="AI34" s="42"/>
      <c r="AJ34" s="42"/>
      <c r="AK34" s="42"/>
      <c r="AL34" s="39"/>
      <c r="AM34" s="39"/>
    </row>
    <row r="35" spans="5:39"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</row>
    <row r="37" ht="8.25" customHeight="1"/>
  </sheetData>
  <mergeCells count="103">
    <mergeCell ref="F3:W3"/>
    <mergeCell ref="Y3:AN3"/>
    <mergeCell ref="AQ4:AS4"/>
    <mergeCell ref="V7:W7"/>
    <mergeCell ref="AO7:AP7"/>
    <mergeCell ref="V8:W8"/>
    <mergeCell ref="AO8:AP8"/>
    <mergeCell ref="V9:W9"/>
    <mergeCell ref="AO9:AP9"/>
    <mergeCell ref="V10:W10"/>
    <mergeCell ref="AO10:AP10"/>
    <mergeCell ref="V11:W11"/>
    <mergeCell ref="AO11:AP11"/>
    <mergeCell ref="V12:W12"/>
    <mergeCell ref="AO12:AP12"/>
    <mergeCell ref="V13:W13"/>
    <mergeCell ref="AO13:AP13"/>
    <mergeCell ref="V14:W14"/>
    <mergeCell ref="AO14:AP14"/>
    <mergeCell ref="V15:W15"/>
    <mergeCell ref="AO15:AP15"/>
    <mergeCell ref="V16:W16"/>
    <mergeCell ref="AO16:AP16"/>
    <mergeCell ref="V17:W17"/>
    <mergeCell ref="AO17:AP17"/>
    <mergeCell ref="V18:W18"/>
    <mergeCell ref="AO18:AP18"/>
    <mergeCell ref="V19:W19"/>
    <mergeCell ref="AO19:AP19"/>
    <mergeCell ref="V20:W20"/>
    <mergeCell ref="AO20:AP20"/>
    <mergeCell ref="V21:W21"/>
    <mergeCell ref="AO21:AP21"/>
    <mergeCell ref="V22:W22"/>
    <mergeCell ref="AO22:AP22"/>
    <mergeCell ref="V23:W23"/>
    <mergeCell ref="AO23:AP23"/>
    <mergeCell ref="V24:W24"/>
    <mergeCell ref="AO24:AP24"/>
    <mergeCell ref="V25:W25"/>
    <mergeCell ref="AO25:AP25"/>
    <mergeCell ref="V26:W26"/>
    <mergeCell ref="AO26:AP26"/>
    <mergeCell ref="V27:W27"/>
    <mergeCell ref="AO27:AP27"/>
    <mergeCell ref="V28:W28"/>
    <mergeCell ref="AO28:AP28"/>
    <mergeCell ref="V29:W29"/>
    <mergeCell ref="AO29:AP29"/>
    <mergeCell ref="V30:W30"/>
    <mergeCell ref="AO30:AP30"/>
    <mergeCell ref="E33:Q33"/>
    <mergeCell ref="Z33:AM33"/>
    <mergeCell ref="I34:O34"/>
    <mergeCell ref="AE34:AK34"/>
    <mergeCell ref="B3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C3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D3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E3:E6"/>
    <mergeCell ref="X3:X6"/>
    <mergeCell ref="AQ5:AQ6"/>
    <mergeCell ref="AR5:AR6"/>
    <mergeCell ref="AS5:AS6"/>
    <mergeCell ref="F4:U5"/>
    <mergeCell ref="V4:W6"/>
    <mergeCell ref="Y4:AN5"/>
    <mergeCell ref="AO4:AP6"/>
  </mergeCells>
  <pageMargins left="0.19" right="0.12" top="0.28" bottom="0.28" header="0.31496062992126" footer="0.26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0"/>
  <dimension ref="A1:O25"/>
  <sheetViews>
    <sheetView workbookViewId="0">
      <selection activeCell="L10" sqref="L10"/>
    </sheetView>
  </sheetViews>
  <sheetFormatPr defaultColWidth="9" defaultRowHeight="14.4"/>
  <cols>
    <col min="1" max="1" width="3.13888888888889" customWidth="1"/>
    <col min="2" max="2" width="3.42592592592593" customWidth="1"/>
    <col min="3" max="3" width="56.712962962963" customWidth="1"/>
    <col min="4" max="4" width="6.42592592592593" customWidth="1"/>
    <col min="5" max="15" width="6" customWidth="1"/>
  </cols>
  <sheetData>
    <row r="1" spans="2:15">
      <c r="B1" s="1"/>
      <c r="C1" s="2" t="s">
        <v>198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2:15">
      <c r="B2" s="1"/>
      <c r="C2" s="3" t="s">
        <v>199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ht="15" customHeight="1" spans="2:15">
      <c r="B3" s="4" t="s">
        <v>145</v>
      </c>
      <c r="C3" s="4" t="s">
        <v>200</v>
      </c>
      <c r="D3" s="4" t="s">
        <v>201</v>
      </c>
      <c r="E3" s="5" t="s">
        <v>202</v>
      </c>
      <c r="F3" s="6"/>
      <c r="G3" s="6"/>
      <c r="H3" s="6"/>
      <c r="I3" s="6"/>
      <c r="J3" s="6"/>
      <c r="K3" s="6"/>
      <c r="L3" s="6"/>
      <c r="M3" s="6"/>
      <c r="N3" s="6"/>
      <c r="O3" s="15"/>
    </row>
    <row r="4" ht="15" customHeight="1" spans="2:15">
      <c r="B4" s="7"/>
      <c r="C4" s="7"/>
      <c r="D4" s="7"/>
      <c r="E4" s="8">
        <v>4118</v>
      </c>
      <c r="F4" s="8">
        <v>4119</v>
      </c>
      <c r="G4" s="8">
        <v>4120</v>
      </c>
      <c r="H4" s="8">
        <v>4121</v>
      </c>
      <c r="I4" s="8">
        <v>4122</v>
      </c>
      <c r="J4" s="8">
        <v>4123</v>
      </c>
      <c r="K4" s="8">
        <v>4124</v>
      </c>
      <c r="L4" s="8">
        <v>4125</v>
      </c>
      <c r="M4" s="8">
        <v>4126</v>
      </c>
      <c r="N4" s="8">
        <v>4127</v>
      </c>
      <c r="O4" s="8">
        <v>4128</v>
      </c>
    </row>
    <row r="5" ht="53.25" customHeight="1" spans="2:15">
      <c r="B5" s="9">
        <v>1</v>
      </c>
      <c r="C5" s="10" t="s">
        <v>203</v>
      </c>
      <c r="D5" s="11" t="s">
        <v>204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ht="21" customHeight="1" spans="2:15">
      <c r="B6" s="9">
        <v>2</v>
      </c>
      <c r="C6" s="10" t="s">
        <v>205</v>
      </c>
      <c r="D6" s="11" t="s">
        <v>204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42.75" customHeight="1" spans="2:15">
      <c r="B7" s="9">
        <v>3</v>
      </c>
      <c r="C7" s="10" t="s">
        <v>203</v>
      </c>
      <c r="D7" s="11" t="s">
        <v>204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21" customHeight="1" spans="2:15">
      <c r="B8" s="9">
        <v>4</v>
      </c>
      <c r="C8" s="10" t="s">
        <v>206</v>
      </c>
      <c r="D8" s="11" t="s">
        <v>207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21" customHeight="1" spans="2:15">
      <c r="B9" s="9">
        <v>5</v>
      </c>
      <c r="C9" s="10" t="s">
        <v>208</v>
      </c>
      <c r="D9" s="11" t="s">
        <v>209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31.5" customHeight="1" spans="2:15">
      <c r="B10" s="9">
        <v>6</v>
      </c>
      <c r="C10" s="10" t="s">
        <v>210</v>
      </c>
      <c r="D10" s="11" t="s">
        <v>211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21" customHeight="1" spans="2:15">
      <c r="B11" s="9">
        <v>7</v>
      </c>
      <c r="C11" s="10" t="s">
        <v>212</v>
      </c>
      <c r="D11" s="11" t="s">
        <v>211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21" customHeight="1" spans="1:15">
      <c r="A12" s="13">
        <v>13</v>
      </c>
      <c r="B12" s="9">
        <v>8</v>
      </c>
      <c r="C12" s="10" t="s">
        <v>213</v>
      </c>
      <c r="D12" s="11" t="s">
        <v>214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2:15">
      <c r="B13" s="1"/>
      <c r="C13" s="14" t="s">
        <v>215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"/>
    </row>
    <row r="15" ht="15" customHeight="1" spans="2:15">
      <c r="B15" s="4" t="s">
        <v>145</v>
      </c>
      <c r="C15" s="4" t="s">
        <v>200</v>
      </c>
      <c r="D15" s="4" t="s">
        <v>201</v>
      </c>
      <c r="E15" s="5" t="s">
        <v>202</v>
      </c>
      <c r="F15" s="6"/>
      <c r="G15" s="6"/>
      <c r="H15" s="6"/>
      <c r="I15" s="6"/>
      <c r="J15" s="6"/>
      <c r="K15" s="6"/>
      <c r="L15" s="6"/>
      <c r="M15" s="6"/>
      <c r="N15" s="6"/>
      <c r="O15" s="15"/>
    </row>
    <row r="16" ht="15" customHeight="1" spans="2:15">
      <c r="B16" s="7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26.4" spans="2:15">
      <c r="B17" s="9">
        <v>1</v>
      </c>
      <c r="C17" s="10" t="s">
        <v>203</v>
      </c>
      <c r="D17" s="11" t="s">
        <v>204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8" customHeight="1" spans="2:15">
      <c r="B18" s="9">
        <v>2</v>
      </c>
      <c r="C18" s="10" t="s">
        <v>205</v>
      </c>
      <c r="D18" s="11" t="s">
        <v>204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31.5" customHeight="1" spans="2:15">
      <c r="B19" s="9">
        <v>3</v>
      </c>
      <c r="C19" s="10" t="s">
        <v>203</v>
      </c>
      <c r="D19" s="11" t="s">
        <v>204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20.25" customHeight="1" spans="2:15">
      <c r="B20" s="9">
        <v>4</v>
      </c>
      <c r="C20" s="10" t="s">
        <v>206</v>
      </c>
      <c r="D20" s="11" t="s">
        <v>207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20.25" customHeight="1" spans="2:15">
      <c r="B21" s="9">
        <v>5</v>
      </c>
      <c r="C21" s="10" t="s">
        <v>208</v>
      </c>
      <c r="D21" s="11" t="s">
        <v>209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33" customHeight="1" spans="2:15">
      <c r="B22" s="9">
        <v>6</v>
      </c>
      <c r="C22" s="10" t="s">
        <v>210</v>
      </c>
      <c r="D22" s="11" t="s">
        <v>211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21.75" customHeight="1" spans="2:15">
      <c r="B23" s="9">
        <v>7</v>
      </c>
      <c r="C23" s="10" t="s">
        <v>212</v>
      </c>
      <c r="D23" s="11" t="s">
        <v>211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23.25" customHeight="1" spans="2:15">
      <c r="B24" s="9">
        <v>8</v>
      </c>
      <c r="C24" s="10" t="s">
        <v>213</v>
      </c>
      <c r="D24" s="11" t="s">
        <v>214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2:15">
      <c r="B25" s="1"/>
      <c r="C25" s="3" t="s">
        <v>215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"/>
    </row>
  </sheetData>
  <mergeCells count="12">
    <mergeCell ref="C1:N1"/>
    <mergeCell ref="C2:N2"/>
    <mergeCell ref="E3:O3"/>
    <mergeCell ref="C13:N13"/>
    <mergeCell ref="E15:O15"/>
    <mergeCell ref="C25:N25"/>
    <mergeCell ref="B3:B4"/>
    <mergeCell ref="B15:B16"/>
    <mergeCell ref="C3:C4"/>
    <mergeCell ref="C15:C16"/>
    <mergeCell ref="D3:D4"/>
    <mergeCell ref="D15:D16"/>
  </mergeCells>
  <pageMargins left="0.44" right="0.49" top="0.31" bottom="0.18" header="0.31496062992126" footer="0.31496062992126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Лист11"/>
  <dimension ref="A1:O25"/>
  <sheetViews>
    <sheetView workbookViewId="0">
      <selection activeCell="Q22" sqref="Q22"/>
    </sheetView>
  </sheetViews>
  <sheetFormatPr defaultColWidth="9" defaultRowHeight="14.4"/>
  <cols>
    <col min="1" max="1" width="3.13888888888889" customWidth="1"/>
    <col min="2" max="2" width="3.42592592592593" customWidth="1"/>
    <col min="3" max="3" width="56.712962962963" customWidth="1"/>
    <col min="4" max="4" width="6.42592592592593" customWidth="1"/>
    <col min="5" max="15" width="6" customWidth="1"/>
  </cols>
  <sheetData>
    <row r="1" spans="2:15">
      <c r="B1" s="1"/>
      <c r="C1" s="2" t="s">
        <v>198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spans="2:15">
      <c r="B2" s="1"/>
      <c r="C2" s="3" t="s">
        <v>199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1"/>
    </row>
    <row r="3" ht="15" customHeight="1" spans="2:15">
      <c r="B3" s="4" t="s">
        <v>145</v>
      </c>
      <c r="C3" s="4" t="s">
        <v>200</v>
      </c>
      <c r="D3" s="4" t="s">
        <v>201</v>
      </c>
      <c r="E3" s="5" t="s">
        <v>202</v>
      </c>
      <c r="F3" s="6"/>
      <c r="G3" s="6"/>
      <c r="H3" s="6"/>
      <c r="I3" s="6"/>
      <c r="J3" s="6"/>
      <c r="K3" s="6"/>
      <c r="L3" s="6"/>
      <c r="M3" s="6"/>
      <c r="N3" s="6"/>
      <c r="O3" s="15"/>
    </row>
    <row r="4" ht="15" customHeight="1" spans="2:15"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ht="53.25" customHeight="1" spans="2:15">
      <c r="B5" s="9">
        <v>1</v>
      </c>
      <c r="C5" s="10" t="s">
        <v>203</v>
      </c>
      <c r="D5" s="11" t="s">
        <v>204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ht="21" customHeight="1" spans="2:15">
      <c r="B6" s="9">
        <v>2</v>
      </c>
      <c r="C6" s="10" t="s">
        <v>205</v>
      </c>
      <c r="D6" s="11" t="s">
        <v>204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ht="42.75" customHeight="1" spans="2:15">
      <c r="B7" s="9">
        <v>3</v>
      </c>
      <c r="C7" s="10" t="s">
        <v>203</v>
      </c>
      <c r="D7" s="11" t="s">
        <v>204</v>
      </c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ht="21" customHeight="1" spans="2:15">
      <c r="B8" s="9">
        <v>4</v>
      </c>
      <c r="C8" s="10" t="s">
        <v>206</v>
      </c>
      <c r="D8" s="11" t="s">
        <v>207</v>
      </c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ht="21" customHeight="1" spans="2:15">
      <c r="B9" s="9">
        <v>5</v>
      </c>
      <c r="C9" s="10" t="s">
        <v>208</v>
      </c>
      <c r="D9" s="11" t="s">
        <v>209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ht="31.5" customHeight="1" spans="2:15">
      <c r="B10" s="9">
        <v>6</v>
      </c>
      <c r="C10" s="10" t="s">
        <v>210</v>
      </c>
      <c r="D10" s="11" t="s">
        <v>211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ht="21" customHeight="1" spans="2:15">
      <c r="B11" s="9">
        <v>7</v>
      </c>
      <c r="C11" s="10" t="s">
        <v>212</v>
      </c>
      <c r="D11" s="11" t="s">
        <v>211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ht="21" customHeight="1" spans="1:15">
      <c r="A12" s="13">
        <v>14</v>
      </c>
      <c r="B12" s="9">
        <v>8</v>
      </c>
      <c r="C12" s="10" t="s">
        <v>213</v>
      </c>
      <c r="D12" s="11" t="s">
        <v>214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2:15">
      <c r="B13" s="1"/>
      <c r="C13" s="14" t="s">
        <v>215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"/>
    </row>
    <row r="15" ht="15" customHeight="1" spans="2:15">
      <c r="B15" s="4" t="s">
        <v>145</v>
      </c>
      <c r="C15" s="4" t="s">
        <v>200</v>
      </c>
      <c r="D15" s="4" t="s">
        <v>201</v>
      </c>
      <c r="E15" s="5" t="s">
        <v>202</v>
      </c>
      <c r="F15" s="6"/>
      <c r="G15" s="6"/>
      <c r="H15" s="6"/>
      <c r="I15" s="6"/>
      <c r="J15" s="6"/>
      <c r="K15" s="6"/>
      <c r="L15" s="6"/>
      <c r="M15" s="6"/>
      <c r="N15" s="6"/>
      <c r="O15" s="15"/>
    </row>
    <row r="16" ht="15" customHeight="1" spans="2:15">
      <c r="B16" s="7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26.4" spans="2:15">
      <c r="B17" s="9">
        <v>1</v>
      </c>
      <c r="C17" s="10" t="s">
        <v>203</v>
      </c>
      <c r="D17" s="11" t="s">
        <v>204</v>
      </c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ht="18" customHeight="1" spans="2:15">
      <c r="B18" s="9">
        <v>2</v>
      </c>
      <c r="C18" s="10" t="s">
        <v>205</v>
      </c>
      <c r="D18" s="11" t="s">
        <v>204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ht="31.5" customHeight="1" spans="2:15">
      <c r="B19" s="9">
        <v>3</v>
      </c>
      <c r="C19" s="10" t="s">
        <v>203</v>
      </c>
      <c r="D19" s="11" t="s">
        <v>204</v>
      </c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ht="20.25" customHeight="1" spans="2:15">
      <c r="B20" s="9">
        <v>4</v>
      </c>
      <c r="C20" s="10" t="s">
        <v>206</v>
      </c>
      <c r="D20" s="11" t="s">
        <v>207</v>
      </c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ht="20.25" customHeight="1" spans="2:15">
      <c r="B21" s="9">
        <v>5</v>
      </c>
      <c r="C21" s="10" t="s">
        <v>208</v>
      </c>
      <c r="D21" s="11" t="s">
        <v>209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ht="33" customHeight="1" spans="2:15">
      <c r="B22" s="9">
        <v>6</v>
      </c>
      <c r="C22" s="10" t="s">
        <v>210</v>
      </c>
      <c r="D22" s="11" t="s">
        <v>211</v>
      </c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ht="21.75" customHeight="1" spans="2:15">
      <c r="B23" s="9">
        <v>7</v>
      </c>
      <c r="C23" s="10" t="s">
        <v>212</v>
      </c>
      <c r="D23" s="11" t="s">
        <v>211</v>
      </c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ht="23.25" customHeight="1" spans="2:15">
      <c r="B24" s="9">
        <v>8</v>
      </c>
      <c r="C24" s="10" t="s">
        <v>213</v>
      </c>
      <c r="D24" s="11" t="s">
        <v>214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2:15">
      <c r="B25" s="1"/>
      <c r="C25" s="3" t="s">
        <v>215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"/>
    </row>
  </sheetData>
  <mergeCells count="12">
    <mergeCell ref="C1:N1"/>
    <mergeCell ref="C2:N2"/>
    <mergeCell ref="E3:O3"/>
    <mergeCell ref="C13:N13"/>
    <mergeCell ref="E15:O15"/>
    <mergeCell ref="C25:N25"/>
    <mergeCell ref="B3:B4"/>
    <mergeCell ref="B15:B16"/>
    <mergeCell ref="C3:C4"/>
    <mergeCell ref="C15:C16"/>
    <mergeCell ref="D3:D4"/>
    <mergeCell ref="D15:D16"/>
  </mergeCells>
  <pageMargins left="0.32" right="0.4" top="0.19" bottom="0.28" header="0.31496062992126" footer="0.31496062992126"/>
  <pageSetup paperSize="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7" master="" otherUserPermission="visible"/>
  <rangeList sheetStid="1" master="" otherUserPermission="visible">
    <arrUserId title="Диапазон1" rangeCreator="" othersAccessPermission="edit"/>
  </rangeList>
  <rangeList sheetStid="2" master="" otherUserPermission="visible"/>
  <rangeList sheetStid="3" master="" otherUserPermission="visible"/>
  <rangeList sheetStid="4" master="" otherUserPermission="visible"/>
  <rangeList sheetStid="10" master="" otherUserPermission="visible"/>
  <rangeList sheetStid="5" master="" otherUserPermission="visible"/>
  <rangeList sheetStid="6" master="" otherUserPermission="visible"/>
  <rangeList sheetStid="9" master="" otherUserPermission="visible"/>
  <rangeList sheetStid="8" master="" otherUserPermission="visible"/>
  <rangeList sheetStid="1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1-бет</vt:lpstr>
      <vt:lpstr>2-3 бетлар</vt:lpstr>
      <vt:lpstr>4-5 бетлар</vt:lpstr>
      <vt:lpstr>6-7 бетлар</vt:lpstr>
      <vt:lpstr>8- бет</vt:lpstr>
      <vt:lpstr>9-бет</vt:lpstr>
      <vt:lpstr>10-бет</vt:lpstr>
      <vt:lpstr>11-бет</vt:lpstr>
      <vt:lpstr>12-бет</vt:lpstr>
      <vt:lpstr>13-бет</vt:lpstr>
      <vt:lpstr>14-бет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ORZUTECH</dc:creator>
  <cp:lastModifiedBy>Jamshid Atadjonov</cp:lastModifiedBy>
  <dcterms:created xsi:type="dcterms:W3CDTF">2015-06-05T18:19:00Z</dcterms:created>
  <cp:lastPrinted>2025-12-17T06:20:00Z</cp:lastPrinted>
  <dcterms:modified xsi:type="dcterms:W3CDTF">2025-12-29T09:10:59Z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101CE3D152994FBB86E007E6631F2A8A_12</vt:lpwstr>
  </property>
  <property fmtid="{D5CDD505-2E9C-101B-9397-08002B2CF9AE}" pid="3" name="KSOProductBuildVer">
    <vt:lpwstr>1049-12.2.0.23196</vt:lpwstr>
  </property>
</Properties>
</file>